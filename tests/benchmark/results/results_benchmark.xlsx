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TecH\Downloads\VCF2FASTA_WORKINGCUDA\16-9-2026(fixing test errors)\benchmarking_results\GPU\BENCHMARK_RUNTIME(MACHINE1 WITH ONLY CPU)(17-9-2026)\"/>
    </mc:Choice>
  </mc:AlternateContent>
  <xr:revisionPtr revIDLastSave="0" documentId="13_ncr:1_{5187605C-7DE1-46F4-8339-52B3ED8EABFE}" xr6:coauthVersionLast="47" xr6:coauthVersionMax="47" xr10:uidLastSave="{00000000-0000-0000-0000-000000000000}"/>
  <bookViews>
    <workbookView xWindow="-120" yWindow="-120" windowWidth="20730" windowHeight="11160" activeTab="4" xr2:uid="{3DAF743C-33AC-4305-A599-0948CCFB3C15}"/>
  </bookViews>
  <sheets>
    <sheet name="RunTime1" sheetId="1" r:id="rId1"/>
    <sheet name="RunTime2" sheetId="2" r:id="rId2"/>
    <sheet name="RunTime3" sheetId="3" r:id="rId3"/>
    <sheet name="RunTime4" sheetId="4" r:id="rId4"/>
    <sheet name="Combine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5" l="1"/>
  <c r="T7" i="5"/>
  <c r="T11" i="5"/>
  <c r="T15" i="5"/>
  <c r="T19" i="5"/>
  <c r="T23" i="5"/>
  <c r="T27" i="5"/>
  <c r="T31" i="5"/>
  <c r="T35" i="5"/>
  <c r="T39" i="5"/>
  <c r="T43" i="5"/>
  <c r="T47" i="5"/>
  <c r="T20" i="5"/>
  <c r="T28" i="5"/>
  <c r="T32" i="5"/>
  <c r="T36" i="5"/>
  <c r="T44" i="5"/>
  <c r="T34" i="5"/>
  <c r="T42" i="5"/>
  <c r="T4" i="5"/>
  <c r="T8" i="5"/>
  <c r="T12" i="5"/>
  <c r="T16" i="5"/>
  <c r="T24" i="5"/>
  <c r="T40" i="5"/>
  <c r="T5" i="5"/>
  <c r="T9" i="5"/>
  <c r="T13" i="5"/>
  <c r="T17" i="5"/>
  <c r="T21" i="5"/>
  <c r="T25" i="5"/>
  <c r="T29" i="5"/>
  <c r="T33" i="5"/>
  <c r="T37" i="5"/>
  <c r="T41" i="5"/>
  <c r="T45" i="5"/>
  <c r="T6" i="5"/>
  <c r="T10" i="5"/>
  <c r="T14" i="5"/>
  <c r="T18" i="5"/>
  <c r="T22" i="5"/>
  <c r="T26" i="5"/>
  <c r="T30" i="5"/>
  <c r="T38" i="5"/>
  <c r="T46" i="5"/>
  <c r="T2" i="5"/>
  <c r="S3" i="5"/>
  <c r="S7" i="5"/>
  <c r="S11" i="5"/>
  <c r="S15" i="5"/>
  <c r="S19" i="5"/>
  <c r="S23" i="5"/>
  <c r="S27" i="5"/>
  <c r="S31" i="5"/>
  <c r="S35" i="5"/>
  <c r="S39" i="5"/>
  <c r="S43" i="5"/>
  <c r="S47" i="5"/>
  <c r="S32" i="5"/>
  <c r="S36" i="5"/>
  <c r="S40" i="5"/>
  <c r="S44" i="5"/>
  <c r="S10" i="5"/>
  <c r="S18" i="5"/>
  <c r="S26" i="5"/>
  <c r="S34" i="5"/>
  <c r="S42" i="5"/>
  <c r="S4" i="5"/>
  <c r="S8" i="5"/>
  <c r="S12" i="5"/>
  <c r="S16" i="5"/>
  <c r="S20" i="5"/>
  <c r="S24" i="5"/>
  <c r="S28" i="5"/>
  <c r="S5" i="5"/>
  <c r="S9" i="5"/>
  <c r="S13" i="5"/>
  <c r="S17" i="5"/>
  <c r="S21" i="5"/>
  <c r="S25" i="5"/>
  <c r="S29" i="5"/>
  <c r="S33" i="5"/>
  <c r="S37" i="5"/>
  <c r="S41" i="5"/>
  <c r="S45" i="5"/>
  <c r="S6" i="5"/>
  <c r="S14" i="5"/>
  <c r="S22" i="5"/>
  <c r="S30" i="5"/>
  <c r="S38" i="5"/>
  <c r="S46" i="5"/>
  <c r="S2" i="5"/>
  <c r="R3" i="5"/>
  <c r="R7" i="5"/>
  <c r="R11" i="5"/>
  <c r="R15" i="5"/>
  <c r="R19" i="5"/>
  <c r="R23" i="5"/>
  <c r="R27" i="5"/>
  <c r="R31" i="5"/>
  <c r="R35" i="5"/>
  <c r="R39" i="5"/>
  <c r="R43" i="5"/>
  <c r="R47" i="5"/>
  <c r="R29" i="5"/>
  <c r="R41" i="5"/>
  <c r="R6" i="5"/>
  <c r="R18" i="5"/>
  <c r="R26" i="5"/>
  <c r="R34" i="5"/>
  <c r="R46" i="5"/>
  <c r="R4" i="5"/>
  <c r="R8" i="5"/>
  <c r="R12" i="5"/>
  <c r="R16" i="5"/>
  <c r="R20" i="5"/>
  <c r="R24" i="5"/>
  <c r="R28" i="5"/>
  <c r="R32" i="5"/>
  <c r="R36" i="5"/>
  <c r="R40" i="5"/>
  <c r="R44" i="5"/>
  <c r="R25" i="5"/>
  <c r="R37" i="5"/>
  <c r="R45" i="5"/>
  <c r="R10" i="5"/>
  <c r="R22" i="5"/>
  <c r="R30" i="5"/>
  <c r="R38" i="5"/>
  <c r="R5" i="5"/>
  <c r="R9" i="5"/>
  <c r="R13" i="5"/>
  <c r="R17" i="5"/>
  <c r="R21" i="5"/>
  <c r="R33" i="5"/>
  <c r="R14" i="5"/>
  <c r="R42" i="5"/>
  <c r="R2" i="5"/>
  <c r="Q3" i="5"/>
  <c r="Q7" i="5"/>
  <c r="Q11" i="5"/>
  <c r="Q15" i="5"/>
  <c r="Q19" i="5"/>
  <c r="Q23" i="5"/>
  <c r="Q27" i="5"/>
  <c r="Q31" i="5"/>
  <c r="Q35" i="5"/>
  <c r="Q39" i="5"/>
  <c r="Q43" i="5"/>
  <c r="Q47" i="5"/>
  <c r="Q20" i="5"/>
  <c r="Q24" i="5"/>
  <c r="Q32" i="5"/>
  <c r="Q36" i="5"/>
  <c r="Q40" i="5"/>
  <c r="Q34" i="5"/>
  <c r="Q42" i="5"/>
  <c r="Q4" i="5"/>
  <c r="Q8" i="5"/>
  <c r="Q12" i="5"/>
  <c r="Q16" i="5"/>
  <c r="Q28" i="5"/>
  <c r="Q44" i="5"/>
  <c r="Q5" i="5"/>
  <c r="Q9" i="5"/>
  <c r="Q13" i="5"/>
  <c r="Q17" i="5"/>
  <c r="Q21" i="5"/>
  <c r="Q25" i="5"/>
  <c r="Q29" i="5"/>
  <c r="Q33" i="5"/>
  <c r="Q37" i="5"/>
  <c r="Q41" i="5"/>
  <c r="Q45" i="5"/>
  <c r="Q6" i="5"/>
  <c r="Q10" i="5"/>
  <c r="Q14" i="5"/>
  <c r="Q18" i="5"/>
  <c r="Q22" i="5"/>
  <c r="Q26" i="5"/>
  <c r="Q30" i="5"/>
  <c r="Q38" i="5"/>
  <c r="Q46" i="5"/>
  <c r="Q2" i="5"/>
  <c r="P3" i="5"/>
  <c r="P7" i="5"/>
  <c r="P11" i="5"/>
  <c r="P15" i="5"/>
  <c r="P19" i="5"/>
  <c r="P23" i="5"/>
  <c r="P27" i="5"/>
  <c r="P31" i="5"/>
  <c r="P35" i="5"/>
  <c r="P39" i="5"/>
  <c r="P43" i="5"/>
  <c r="P47" i="5"/>
  <c r="P32" i="5"/>
  <c r="P40" i="5"/>
  <c r="P22" i="5"/>
  <c r="P34" i="5"/>
  <c r="P46" i="5"/>
  <c r="P4" i="5"/>
  <c r="P8" i="5"/>
  <c r="P12" i="5"/>
  <c r="P16" i="5"/>
  <c r="P20" i="5"/>
  <c r="P24" i="5"/>
  <c r="P28" i="5"/>
  <c r="P36" i="5"/>
  <c r="P44" i="5"/>
  <c r="P30" i="5"/>
  <c r="P42" i="5"/>
  <c r="P9" i="5"/>
  <c r="P13" i="5"/>
  <c r="P17" i="5"/>
  <c r="P21" i="5"/>
  <c r="P25" i="5"/>
  <c r="P29" i="5"/>
  <c r="P33" i="5"/>
  <c r="P37" i="5"/>
  <c r="P41" i="5"/>
  <c r="P45" i="5"/>
  <c r="P6" i="5"/>
  <c r="P10" i="5"/>
  <c r="P14" i="5"/>
  <c r="P18" i="5"/>
  <c r="P26" i="5"/>
  <c r="P38" i="5"/>
  <c r="P2" i="5"/>
  <c r="O3" i="5"/>
  <c r="O7" i="5"/>
  <c r="O11" i="5"/>
  <c r="O15" i="5"/>
  <c r="O19" i="5"/>
  <c r="O23" i="5"/>
  <c r="O27" i="5"/>
  <c r="O31" i="5"/>
  <c r="O35" i="5"/>
  <c r="O39" i="5"/>
  <c r="O43" i="5"/>
  <c r="O47" i="5"/>
  <c r="O24" i="5"/>
  <c r="O32" i="5"/>
  <c r="O36" i="5"/>
  <c r="O40" i="5"/>
  <c r="O44" i="5"/>
  <c r="O38" i="5"/>
  <c r="O46" i="5"/>
  <c r="O4" i="5"/>
  <c r="O8" i="5"/>
  <c r="O12" i="5"/>
  <c r="O16" i="5"/>
  <c r="O20" i="5"/>
  <c r="O28" i="5"/>
  <c r="O34" i="5"/>
  <c r="O9" i="5"/>
  <c r="O13" i="5"/>
  <c r="O17" i="5"/>
  <c r="O21" i="5"/>
  <c r="O25" i="5"/>
  <c r="O29" i="5"/>
  <c r="O33" i="5"/>
  <c r="O37" i="5"/>
  <c r="O41" i="5"/>
  <c r="O45" i="5"/>
  <c r="O6" i="5"/>
  <c r="O10" i="5"/>
  <c r="O14" i="5"/>
  <c r="O18" i="5"/>
  <c r="O22" i="5"/>
  <c r="O26" i="5"/>
  <c r="O30" i="5"/>
  <c r="O42" i="5"/>
  <c r="O2" i="5"/>
  <c r="N5" i="5"/>
  <c r="N3" i="5"/>
  <c r="N7" i="5"/>
  <c r="N11" i="5"/>
  <c r="N15" i="5"/>
  <c r="N19" i="5"/>
  <c r="N23" i="5"/>
  <c r="N27" i="5"/>
  <c r="N31" i="5"/>
  <c r="N35" i="5"/>
  <c r="N39" i="5"/>
  <c r="N43" i="5"/>
  <c r="N47" i="5"/>
  <c r="N24" i="5"/>
  <c r="N32" i="5"/>
  <c r="N36" i="5"/>
  <c r="N40" i="5"/>
  <c r="N44" i="5"/>
  <c r="N34" i="5"/>
  <c r="N42" i="5"/>
  <c r="N4" i="5"/>
  <c r="N8" i="5"/>
  <c r="N12" i="5"/>
  <c r="N16" i="5"/>
  <c r="N20" i="5"/>
  <c r="N28" i="5"/>
  <c r="N30" i="5"/>
  <c r="N9" i="5"/>
  <c r="N13" i="5"/>
  <c r="N17" i="5"/>
  <c r="N21" i="5"/>
  <c r="N25" i="5"/>
  <c r="N29" i="5"/>
  <c r="N33" i="5"/>
  <c r="N37" i="5"/>
  <c r="N41" i="5"/>
  <c r="N45" i="5"/>
  <c r="N6" i="5"/>
  <c r="N10" i="5"/>
  <c r="N14" i="5"/>
  <c r="N18" i="5"/>
  <c r="N22" i="5"/>
  <c r="N26" i="5"/>
  <c r="N38" i="5"/>
  <c r="N46" i="5"/>
  <c r="N2" i="5"/>
  <c r="L3" i="5"/>
  <c r="L4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2" i="5"/>
  <c r="K3" i="5"/>
  <c r="K7" i="5"/>
  <c r="K11" i="5"/>
  <c r="K15" i="5"/>
  <c r="K19" i="5"/>
  <c r="K23" i="5"/>
  <c r="K27" i="5"/>
  <c r="K31" i="5"/>
  <c r="K35" i="5"/>
  <c r="K39" i="5"/>
  <c r="K43" i="5"/>
  <c r="K47" i="5"/>
  <c r="K20" i="5"/>
  <c r="K24" i="5"/>
  <c r="K32" i="5"/>
  <c r="K36" i="5"/>
  <c r="K40" i="5"/>
  <c r="K44" i="5"/>
  <c r="K42" i="5"/>
  <c r="K4" i="5"/>
  <c r="K8" i="5"/>
  <c r="K12" i="5"/>
  <c r="K16" i="5"/>
  <c r="K28" i="5"/>
  <c r="K34" i="5"/>
  <c r="K5" i="5"/>
  <c r="K9" i="5"/>
  <c r="K13" i="5"/>
  <c r="K17" i="5"/>
  <c r="K21" i="5"/>
  <c r="K25" i="5"/>
  <c r="K29" i="5"/>
  <c r="K33" i="5"/>
  <c r="K37" i="5"/>
  <c r="K41" i="5"/>
  <c r="K45" i="5"/>
  <c r="K6" i="5"/>
  <c r="K10" i="5"/>
  <c r="K14" i="5"/>
  <c r="K18" i="5"/>
  <c r="K22" i="5"/>
  <c r="K26" i="5"/>
  <c r="K30" i="5"/>
  <c r="K38" i="5"/>
  <c r="K46" i="5"/>
  <c r="K2" i="5"/>
  <c r="J3" i="5"/>
  <c r="J7" i="5"/>
  <c r="J11" i="5"/>
  <c r="J15" i="5"/>
  <c r="J19" i="5"/>
  <c r="J23" i="5"/>
  <c r="J27" i="5"/>
  <c r="J31" i="5"/>
  <c r="J35" i="5"/>
  <c r="J39" i="5"/>
  <c r="J43" i="5"/>
  <c r="J47" i="5"/>
  <c r="J45" i="5"/>
  <c r="J6" i="5"/>
  <c r="J14" i="5"/>
  <c r="J18" i="5"/>
  <c r="J26" i="5"/>
  <c r="J34" i="5"/>
  <c r="J4" i="5"/>
  <c r="J8" i="5"/>
  <c r="J12" i="5"/>
  <c r="J16" i="5"/>
  <c r="J20" i="5"/>
  <c r="J24" i="5"/>
  <c r="J28" i="5"/>
  <c r="J32" i="5"/>
  <c r="J36" i="5"/>
  <c r="J40" i="5"/>
  <c r="J44" i="5"/>
  <c r="J5" i="5"/>
  <c r="J9" i="5"/>
  <c r="J13" i="5"/>
  <c r="J17" i="5"/>
  <c r="J21" i="5"/>
  <c r="J25" i="5"/>
  <c r="J29" i="5"/>
  <c r="J33" i="5"/>
  <c r="J37" i="5"/>
  <c r="J41" i="5"/>
  <c r="J10" i="5"/>
  <c r="J22" i="5"/>
  <c r="J30" i="5"/>
  <c r="J38" i="5"/>
  <c r="J42" i="5"/>
  <c r="J46" i="5"/>
  <c r="I3" i="5"/>
  <c r="I7" i="5"/>
  <c r="I11" i="5"/>
  <c r="I15" i="5"/>
  <c r="I19" i="5"/>
  <c r="I23" i="5"/>
  <c r="I27" i="5"/>
  <c r="I31" i="5"/>
  <c r="I35" i="5"/>
  <c r="I39" i="5"/>
  <c r="I43" i="5"/>
  <c r="I47" i="5"/>
  <c r="I20" i="5"/>
  <c r="I28" i="5"/>
  <c r="I32" i="5"/>
  <c r="I36" i="5"/>
  <c r="I44" i="5"/>
  <c r="I34" i="5"/>
  <c r="I42" i="5"/>
  <c r="I4" i="5"/>
  <c r="I8" i="5"/>
  <c r="I12" i="5"/>
  <c r="I16" i="5"/>
  <c r="I24" i="5"/>
  <c r="I40" i="5"/>
  <c r="I5" i="5"/>
  <c r="I9" i="5"/>
  <c r="I13" i="5"/>
  <c r="I17" i="5"/>
  <c r="I21" i="5"/>
  <c r="I25" i="5"/>
  <c r="I29" i="5"/>
  <c r="I33" i="5"/>
  <c r="I37" i="5"/>
  <c r="I41" i="5"/>
  <c r="I45" i="5"/>
  <c r="I6" i="5"/>
  <c r="I10" i="5"/>
  <c r="I14" i="5"/>
  <c r="I18" i="5"/>
  <c r="I22" i="5"/>
  <c r="I26" i="5"/>
  <c r="I30" i="5"/>
  <c r="I38" i="5"/>
  <c r="I46" i="5"/>
  <c r="I2" i="5"/>
  <c r="J2" i="5"/>
  <c r="F3" i="5"/>
  <c r="F4" i="5"/>
  <c r="F2" i="5"/>
  <c r="T3" i="4"/>
  <c r="T7" i="4"/>
  <c r="T11" i="4"/>
  <c r="T15" i="4"/>
  <c r="T19" i="4"/>
  <c r="T23" i="4"/>
  <c r="T27" i="4"/>
  <c r="T31" i="4"/>
  <c r="T35" i="4"/>
  <c r="T39" i="4"/>
  <c r="T43" i="4"/>
  <c r="T47" i="4"/>
  <c r="T37" i="4"/>
  <c r="T6" i="4"/>
  <c r="T14" i="4"/>
  <c r="T22" i="4"/>
  <c r="T30" i="4"/>
  <c r="T38" i="4"/>
  <c r="T46" i="4"/>
  <c r="T4" i="4"/>
  <c r="T8" i="4"/>
  <c r="T12" i="4"/>
  <c r="T16" i="4"/>
  <c r="T20" i="4"/>
  <c r="T24" i="4"/>
  <c r="T28" i="4"/>
  <c r="T32" i="4"/>
  <c r="T36" i="4"/>
  <c r="T40" i="4"/>
  <c r="T44" i="4"/>
  <c r="T25" i="4"/>
  <c r="T29" i="4"/>
  <c r="T33" i="4"/>
  <c r="T41" i="4"/>
  <c r="T45" i="4"/>
  <c r="T10" i="4"/>
  <c r="T18" i="4"/>
  <c r="T26" i="4"/>
  <c r="T34" i="4"/>
  <c r="T42" i="4"/>
  <c r="T5" i="4"/>
  <c r="T9" i="4"/>
  <c r="T13" i="4"/>
  <c r="T17" i="4"/>
  <c r="T21" i="4"/>
  <c r="T2" i="4"/>
  <c r="S3" i="4"/>
  <c r="S7" i="4"/>
  <c r="S11" i="4"/>
  <c r="S15" i="4"/>
  <c r="S19" i="4"/>
  <c r="S23" i="4"/>
  <c r="S27" i="4"/>
  <c r="S31" i="4"/>
  <c r="S47" i="4"/>
  <c r="S4" i="4"/>
  <c r="S8" i="4"/>
  <c r="S12" i="4"/>
  <c r="S16" i="4"/>
  <c r="S20" i="4"/>
  <c r="S24" i="4"/>
  <c r="S28" i="4"/>
  <c r="S32" i="4"/>
  <c r="S36" i="4"/>
  <c r="S40" i="4"/>
  <c r="S44" i="4"/>
  <c r="S37" i="4"/>
  <c r="S45" i="4"/>
  <c r="S10" i="4"/>
  <c r="S18" i="4"/>
  <c r="S22" i="4"/>
  <c r="S30" i="4"/>
  <c r="S42" i="4"/>
  <c r="S35" i="4"/>
  <c r="S43" i="4"/>
  <c r="S5" i="4"/>
  <c r="S9" i="4"/>
  <c r="S13" i="4"/>
  <c r="S17" i="4"/>
  <c r="S21" i="4"/>
  <c r="S25" i="4"/>
  <c r="S29" i="4"/>
  <c r="S33" i="4"/>
  <c r="S41" i="4"/>
  <c r="S6" i="4"/>
  <c r="S14" i="4"/>
  <c r="S26" i="4"/>
  <c r="S34" i="4"/>
  <c r="S38" i="4"/>
  <c r="S46" i="4"/>
  <c r="S39" i="4"/>
  <c r="S2" i="4"/>
  <c r="R3" i="4"/>
  <c r="R7" i="4"/>
  <c r="R11" i="4"/>
  <c r="R15" i="4"/>
  <c r="R19" i="4"/>
  <c r="R23" i="4"/>
  <c r="R27" i="4"/>
  <c r="R31" i="4"/>
  <c r="R35" i="4"/>
  <c r="R39" i="4"/>
  <c r="R43" i="4"/>
  <c r="R47" i="4"/>
  <c r="R30" i="4"/>
  <c r="R42" i="4"/>
  <c r="R4" i="4"/>
  <c r="R8" i="4"/>
  <c r="R12" i="4"/>
  <c r="R16" i="4"/>
  <c r="R20" i="4"/>
  <c r="R24" i="4"/>
  <c r="R28" i="4"/>
  <c r="R32" i="4"/>
  <c r="R36" i="4"/>
  <c r="R40" i="4"/>
  <c r="R44" i="4"/>
  <c r="R10" i="4"/>
  <c r="R14" i="4"/>
  <c r="R26" i="4"/>
  <c r="R38" i="4"/>
  <c r="R5" i="4"/>
  <c r="R9" i="4"/>
  <c r="R13" i="4"/>
  <c r="R17" i="4"/>
  <c r="R21" i="4"/>
  <c r="R25" i="4"/>
  <c r="R29" i="4"/>
  <c r="R33" i="4"/>
  <c r="R37" i="4"/>
  <c r="R41" i="4"/>
  <c r="R45" i="4"/>
  <c r="R6" i="4"/>
  <c r="R18" i="4"/>
  <c r="R22" i="4"/>
  <c r="R34" i="4"/>
  <c r="R46" i="4"/>
  <c r="R2" i="4"/>
  <c r="Q2" i="4"/>
  <c r="Q3" i="4"/>
  <c r="Q7" i="4"/>
  <c r="Q11" i="4"/>
  <c r="Q15" i="4"/>
  <c r="Q19" i="4"/>
  <c r="Q23" i="4"/>
  <c r="Q27" i="4"/>
  <c r="Q31" i="4"/>
  <c r="Q35" i="4"/>
  <c r="Q39" i="4"/>
  <c r="Q43" i="4"/>
  <c r="Q47" i="4"/>
  <c r="Q20" i="4"/>
  <c r="Q24" i="4"/>
  <c r="Q32" i="4"/>
  <c r="Q36" i="4"/>
  <c r="Q44" i="4"/>
  <c r="Q34" i="4"/>
  <c r="Q46" i="4"/>
  <c r="Q4" i="4"/>
  <c r="Q8" i="4"/>
  <c r="Q12" i="4"/>
  <c r="Q16" i="4"/>
  <c r="Q28" i="4"/>
  <c r="Q40" i="4"/>
  <c r="Q38" i="4"/>
  <c r="Q5" i="4"/>
  <c r="Q9" i="4"/>
  <c r="Q13" i="4"/>
  <c r="Q17" i="4"/>
  <c r="Q21" i="4"/>
  <c r="Q25" i="4"/>
  <c r="Q29" i="4"/>
  <c r="Q33" i="4"/>
  <c r="Q37" i="4"/>
  <c r="Q41" i="4"/>
  <c r="Q45" i="4"/>
  <c r="Q6" i="4"/>
  <c r="Q10" i="4"/>
  <c r="Q14" i="4"/>
  <c r="Q18" i="4"/>
  <c r="Q22" i="4"/>
  <c r="Q26" i="4"/>
  <c r="Q30" i="4"/>
  <c r="Q42" i="4"/>
  <c r="P3" i="4"/>
  <c r="P7" i="4"/>
  <c r="P11" i="4"/>
  <c r="P15" i="4"/>
  <c r="P19" i="4"/>
  <c r="P23" i="4"/>
  <c r="P27" i="4"/>
  <c r="P31" i="4"/>
  <c r="P35" i="4"/>
  <c r="P39" i="4"/>
  <c r="P43" i="4"/>
  <c r="P47" i="4"/>
  <c r="P28" i="4"/>
  <c r="P32" i="4"/>
  <c r="P36" i="4"/>
  <c r="P40" i="4"/>
  <c r="P44" i="4"/>
  <c r="P9" i="4"/>
  <c r="P13" i="4"/>
  <c r="P17" i="4"/>
  <c r="P21" i="4"/>
  <c r="P25" i="4"/>
  <c r="P29" i="4"/>
  <c r="P33" i="4"/>
  <c r="P37" i="4"/>
  <c r="P41" i="4"/>
  <c r="P45" i="4"/>
  <c r="P6" i="4"/>
  <c r="P10" i="4"/>
  <c r="P14" i="4"/>
  <c r="P18" i="4"/>
  <c r="P22" i="4"/>
  <c r="P26" i="4"/>
  <c r="P30" i="4"/>
  <c r="P34" i="4"/>
  <c r="P38" i="4"/>
  <c r="P42" i="4"/>
  <c r="P46" i="4"/>
  <c r="P4" i="4"/>
  <c r="P8" i="4"/>
  <c r="P12" i="4"/>
  <c r="P16" i="4"/>
  <c r="P20" i="4"/>
  <c r="P24" i="4"/>
  <c r="P2" i="4"/>
  <c r="O2" i="4"/>
  <c r="O3" i="4"/>
  <c r="O7" i="4"/>
  <c r="O11" i="4"/>
  <c r="O15" i="4"/>
  <c r="O19" i="4"/>
  <c r="O23" i="4"/>
  <c r="O27" i="4"/>
  <c r="O31" i="4"/>
  <c r="O35" i="4"/>
  <c r="O39" i="4"/>
  <c r="O43" i="4"/>
  <c r="O47" i="4"/>
  <c r="O24" i="4"/>
  <c r="O28" i="4"/>
  <c r="O32" i="4"/>
  <c r="O40" i="4"/>
  <c r="O44" i="4"/>
  <c r="O34" i="4"/>
  <c r="O42" i="4"/>
  <c r="O4" i="4"/>
  <c r="O8" i="4"/>
  <c r="O12" i="4"/>
  <c r="O16" i="4"/>
  <c r="O20" i="4"/>
  <c r="O36" i="4"/>
  <c r="O9" i="4"/>
  <c r="O13" i="4"/>
  <c r="O17" i="4"/>
  <c r="O21" i="4"/>
  <c r="O25" i="4"/>
  <c r="O29" i="4"/>
  <c r="O33" i="4"/>
  <c r="O37" i="4"/>
  <c r="O41" i="4"/>
  <c r="O45" i="4"/>
  <c r="O6" i="4"/>
  <c r="O10" i="4"/>
  <c r="O14" i="4"/>
  <c r="O18" i="4"/>
  <c r="O22" i="4"/>
  <c r="O26" i="4"/>
  <c r="O30" i="4"/>
  <c r="O38" i="4"/>
  <c r="O46" i="4"/>
  <c r="T3" i="3"/>
  <c r="T7" i="3"/>
  <c r="T11" i="3"/>
  <c r="T15" i="3"/>
  <c r="T19" i="3"/>
  <c r="T23" i="3"/>
  <c r="T27" i="3"/>
  <c r="T31" i="3"/>
  <c r="T35" i="3"/>
  <c r="T39" i="3"/>
  <c r="T43" i="3"/>
  <c r="T47" i="3"/>
  <c r="T36" i="3"/>
  <c r="T44" i="3"/>
  <c r="T22" i="3"/>
  <c r="T34" i="3"/>
  <c r="T46" i="3"/>
  <c r="T4" i="3"/>
  <c r="T8" i="3"/>
  <c r="T12" i="3"/>
  <c r="T16" i="3"/>
  <c r="T20" i="3"/>
  <c r="T24" i="3"/>
  <c r="T28" i="3"/>
  <c r="T32" i="3"/>
  <c r="T40" i="3"/>
  <c r="T14" i="3"/>
  <c r="T30" i="3"/>
  <c r="T42" i="3"/>
  <c r="T5" i="3"/>
  <c r="T9" i="3"/>
  <c r="T13" i="3"/>
  <c r="T17" i="3"/>
  <c r="T21" i="3"/>
  <c r="T25" i="3"/>
  <c r="T29" i="3"/>
  <c r="T33" i="3"/>
  <c r="T37" i="3"/>
  <c r="T41" i="3"/>
  <c r="T45" i="3"/>
  <c r="T6" i="3"/>
  <c r="T10" i="3"/>
  <c r="T18" i="3"/>
  <c r="T26" i="3"/>
  <c r="T38" i="3"/>
  <c r="T2" i="3"/>
  <c r="S3" i="3"/>
  <c r="S7" i="3"/>
  <c r="S11" i="3"/>
  <c r="S15" i="3"/>
  <c r="S19" i="3"/>
  <c r="S23" i="3"/>
  <c r="S27" i="3"/>
  <c r="S31" i="3"/>
  <c r="S35" i="3"/>
  <c r="S39" i="3"/>
  <c r="S43" i="3"/>
  <c r="S47" i="3"/>
  <c r="S4" i="3"/>
  <c r="S8" i="3"/>
  <c r="S12" i="3"/>
  <c r="S16" i="3"/>
  <c r="S20" i="3"/>
  <c r="S24" i="3"/>
  <c r="S28" i="3"/>
  <c r="S32" i="3"/>
  <c r="S36" i="3"/>
  <c r="S40" i="3"/>
  <c r="S44" i="3"/>
  <c r="S5" i="3"/>
  <c r="S9" i="3"/>
  <c r="S13" i="3"/>
  <c r="S17" i="3"/>
  <c r="S21" i="3"/>
  <c r="S25" i="3"/>
  <c r="S29" i="3"/>
  <c r="S33" i="3"/>
  <c r="S37" i="3"/>
  <c r="S41" i="3"/>
  <c r="S45" i="3"/>
  <c r="S6" i="3"/>
  <c r="S10" i="3"/>
  <c r="S14" i="3"/>
  <c r="S18" i="3"/>
  <c r="S22" i="3"/>
  <c r="S26" i="3"/>
  <c r="S30" i="3"/>
  <c r="S34" i="3"/>
  <c r="S38" i="3"/>
  <c r="S42" i="3"/>
  <c r="S46" i="3"/>
  <c r="S2" i="3"/>
  <c r="R3" i="3"/>
  <c r="R7" i="3"/>
  <c r="R11" i="3"/>
  <c r="R15" i="3"/>
  <c r="R19" i="3"/>
  <c r="R23" i="3"/>
  <c r="R27" i="3"/>
  <c r="R31" i="3"/>
  <c r="R35" i="3"/>
  <c r="R39" i="3"/>
  <c r="R43" i="3"/>
  <c r="R47" i="3"/>
  <c r="R28" i="3"/>
  <c r="R36" i="3"/>
  <c r="R44" i="3"/>
  <c r="R30" i="3"/>
  <c r="R42" i="3"/>
  <c r="R4" i="3"/>
  <c r="R8" i="3"/>
  <c r="R12" i="3"/>
  <c r="R16" i="3"/>
  <c r="R20" i="3"/>
  <c r="R24" i="3"/>
  <c r="R32" i="3"/>
  <c r="R40" i="3"/>
  <c r="R22" i="3"/>
  <c r="R34" i="3"/>
  <c r="R46" i="3"/>
  <c r="R5" i="3"/>
  <c r="R9" i="3"/>
  <c r="R13" i="3"/>
  <c r="R17" i="3"/>
  <c r="R21" i="3"/>
  <c r="R25" i="3"/>
  <c r="R29" i="3"/>
  <c r="R33" i="3"/>
  <c r="R37" i="3"/>
  <c r="R41" i="3"/>
  <c r="R45" i="3"/>
  <c r="R6" i="3"/>
  <c r="R10" i="3"/>
  <c r="R14" i="3"/>
  <c r="R18" i="3"/>
  <c r="R26" i="3"/>
  <c r="R38" i="3"/>
  <c r="R2" i="3"/>
  <c r="Q3" i="3"/>
  <c r="Q7" i="3"/>
  <c r="Q11" i="3"/>
  <c r="Q15" i="3"/>
  <c r="Q19" i="3"/>
  <c r="Q23" i="3"/>
  <c r="Q27" i="3"/>
  <c r="Q31" i="3"/>
  <c r="Q35" i="3"/>
  <c r="Q39" i="3"/>
  <c r="Q43" i="3"/>
  <c r="Q47" i="3"/>
  <c r="Q37" i="3"/>
  <c r="Q45" i="3"/>
  <c r="Q14" i="3"/>
  <c r="Q22" i="3"/>
  <c r="Q30" i="3"/>
  <c r="Q38" i="3"/>
  <c r="Q4" i="3"/>
  <c r="Q8" i="3"/>
  <c r="Q12" i="3"/>
  <c r="Q16" i="3"/>
  <c r="Q20" i="3"/>
  <c r="Q24" i="3"/>
  <c r="Q28" i="3"/>
  <c r="Q32" i="3"/>
  <c r="Q36" i="3"/>
  <c r="Q40" i="3"/>
  <c r="Q44" i="3"/>
  <c r="Q25" i="3"/>
  <c r="Q33" i="3"/>
  <c r="Q41" i="3"/>
  <c r="Q6" i="3"/>
  <c r="Q18" i="3"/>
  <c r="Q26" i="3"/>
  <c r="Q34" i="3"/>
  <c r="Q46" i="3"/>
  <c r="Q5" i="3"/>
  <c r="Q9" i="3"/>
  <c r="Q13" i="3"/>
  <c r="Q17" i="3"/>
  <c r="Q21" i="3"/>
  <c r="Q29" i="3"/>
  <c r="Q10" i="3"/>
  <c r="Q42" i="3"/>
  <c r="Q2" i="3"/>
  <c r="P3" i="3"/>
  <c r="P7" i="3"/>
  <c r="P11" i="3"/>
  <c r="P15" i="3"/>
  <c r="P19" i="3"/>
  <c r="P23" i="3"/>
  <c r="P27" i="3"/>
  <c r="P31" i="3"/>
  <c r="P35" i="3"/>
  <c r="P39" i="3"/>
  <c r="P43" i="3"/>
  <c r="P47" i="3"/>
  <c r="P44" i="3"/>
  <c r="P14" i="3"/>
  <c r="P34" i="3"/>
  <c r="P42" i="3"/>
  <c r="P4" i="3"/>
  <c r="P8" i="3"/>
  <c r="P12" i="3"/>
  <c r="P16" i="3"/>
  <c r="P20" i="3"/>
  <c r="P24" i="3"/>
  <c r="P28" i="3"/>
  <c r="P32" i="3"/>
  <c r="P36" i="3"/>
  <c r="P40" i="3"/>
  <c r="P18" i="3"/>
  <c r="P30" i="3"/>
  <c r="P9" i="3"/>
  <c r="P13" i="3"/>
  <c r="P17" i="3"/>
  <c r="P21" i="3"/>
  <c r="P25" i="3"/>
  <c r="P29" i="3"/>
  <c r="P33" i="3"/>
  <c r="P37" i="3"/>
  <c r="P41" i="3"/>
  <c r="P45" i="3"/>
  <c r="P6" i="3"/>
  <c r="P10" i="3"/>
  <c r="P22" i="3"/>
  <c r="P26" i="3"/>
  <c r="P38" i="3"/>
  <c r="P46" i="3"/>
  <c r="P2" i="3"/>
  <c r="O3" i="3"/>
  <c r="O7" i="3"/>
  <c r="O11" i="3"/>
  <c r="O15" i="3"/>
  <c r="O19" i="3"/>
  <c r="O23" i="3"/>
  <c r="O27" i="3"/>
  <c r="O31" i="3"/>
  <c r="O35" i="3"/>
  <c r="O39" i="3"/>
  <c r="O43" i="3"/>
  <c r="O47" i="3"/>
  <c r="O36" i="3"/>
  <c r="O44" i="3"/>
  <c r="O26" i="3"/>
  <c r="O38" i="3"/>
  <c r="O4" i="3"/>
  <c r="O8" i="3"/>
  <c r="O12" i="3"/>
  <c r="O16" i="3"/>
  <c r="O20" i="3"/>
  <c r="O24" i="3"/>
  <c r="O28" i="3"/>
  <c r="O32" i="3"/>
  <c r="O40" i="3"/>
  <c r="O18" i="3"/>
  <c r="O30" i="3"/>
  <c r="O42" i="3"/>
  <c r="O9" i="3"/>
  <c r="O13" i="3"/>
  <c r="O17" i="3"/>
  <c r="O21" i="3"/>
  <c r="O25" i="3"/>
  <c r="O29" i="3"/>
  <c r="O33" i="3"/>
  <c r="O37" i="3"/>
  <c r="O41" i="3"/>
  <c r="O45" i="3"/>
  <c r="O6" i="3"/>
  <c r="O10" i="3"/>
  <c r="O14" i="3"/>
  <c r="O22" i="3"/>
  <c r="O34" i="3"/>
  <c r="O46" i="3"/>
  <c r="O2" i="3"/>
  <c r="T3" i="2"/>
  <c r="T7" i="2"/>
  <c r="T11" i="2"/>
  <c r="T15" i="2"/>
  <c r="T19" i="2"/>
  <c r="T23" i="2"/>
  <c r="T27" i="2"/>
  <c r="T31" i="2"/>
  <c r="T35" i="2"/>
  <c r="T39" i="2"/>
  <c r="T43" i="2"/>
  <c r="T47" i="2"/>
  <c r="T20" i="2"/>
  <c r="T28" i="2"/>
  <c r="T32" i="2"/>
  <c r="T36" i="2"/>
  <c r="T44" i="2"/>
  <c r="T34" i="2"/>
  <c r="T42" i="2"/>
  <c r="T4" i="2"/>
  <c r="T8" i="2"/>
  <c r="T12" i="2"/>
  <c r="T16" i="2"/>
  <c r="T24" i="2"/>
  <c r="T40" i="2"/>
  <c r="T5" i="2"/>
  <c r="T9" i="2"/>
  <c r="T13" i="2"/>
  <c r="T17" i="2"/>
  <c r="T21" i="2"/>
  <c r="T25" i="2"/>
  <c r="T29" i="2"/>
  <c r="T33" i="2"/>
  <c r="T37" i="2"/>
  <c r="T41" i="2"/>
  <c r="T45" i="2"/>
  <c r="T6" i="2"/>
  <c r="T10" i="2"/>
  <c r="T14" i="2"/>
  <c r="T18" i="2"/>
  <c r="T22" i="2"/>
  <c r="T26" i="2"/>
  <c r="T30" i="2"/>
  <c r="T38" i="2"/>
  <c r="T46" i="2"/>
  <c r="T2" i="2"/>
  <c r="S3" i="2"/>
  <c r="S7" i="2"/>
  <c r="S11" i="2"/>
  <c r="S15" i="2"/>
  <c r="S19" i="2"/>
  <c r="S23" i="2"/>
  <c r="S27" i="2"/>
  <c r="S31" i="2"/>
  <c r="S35" i="2"/>
  <c r="S39" i="2"/>
  <c r="S43" i="2"/>
  <c r="S47" i="2"/>
  <c r="S20" i="2"/>
  <c r="S24" i="2"/>
  <c r="S32" i="2"/>
  <c r="S36" i="2"/>
  <c r="S40" i="2"/>
  <c r="S34" i="2"/>
  <c r="S42" i="2"/>
  <c r="S4" i="2"/>
  <c r="S8" i="2"/>
  <c r="S12" i="2"/>
  <c r="S16" i="2"/>
  <c r="S28" i="2"/>
  <c r="S44" i="2"/>
  <c r="S5" i="2"/>
  <c r="S9" i="2"/>
  <c r="S13" i="2"/>
  <c r="S17" i="2"/>
  <c r="S21" i="2"/>
  <c r="S25" i="2"/>
  <c r="S29" i="2"/>
  <c r="S33" i="2"/>
  <c r="S37" i="2"/>
  <c r="S41" i="2"/>
  <c r="S45" i="2"/>
  <c r="S6" i="2"/>
  <c r="S10" i="2"/>
  <c r="S14" i="2"/>
  <c r="S18" i="2"/>
  <c r="S22" i="2"/>
  <c r="S26" i="2"/>
  <c r="S30" i="2"/>
  <c r="S38" i="2"/>
  <c r="S46" i="2"/>
  <c r="S2" i="2"/>
  <c r="R3" i="2"/>
  <c r="R7" i="2"/>
  <c r="R11" i="2"/>
  <c r="R15" i="2"/>
  <c r="R19" i="2"/>
  <c r="R23" i="2"/>
  <c r="R27" i="2"/>
  <c r="R43" i="2"/>
  <c r="R4" i="2"/>
  <c r="R8" i="2"/>
  <c r="R12" i="2"/>
  <c r="R16" i="2"/>
  <c r="R20" i="2"/>
  <c r="R24" i="2"/>
  <c r="R28" i="2"/>
  <c r="R32" i="2"/>
  <c r="R36" i="2"/>
  <c r="R40" i="2"/>
  <c r="R44" i="2"/>
  <c r="R10" i="2"/>
  <c r="R18" i="2"/>
  <c r="R26" i="2"/>
  <c r="R34" i="2"/>
  <c r="R42" i="2"/>
  <c r="R31" i="2"/>
  <c r="R39" i="2"/>
  <c r="R5" i="2"/>
  <c r="R9" i="2"/>
  <c r="R13" i="2"/>
  <c r="R17" i="2"/>
  <c r="R21" i="2"/>
  <c r="R25" i="2"/>
  <c r="R29" i="2"/>
  <c r="R33" i="2"/>
  <c r="R37" i="2"/>
  <c r="R41" i="2"/>
  <c r="R45" i="2"/>
  <c r="R6" i="2"/>
  <c r="R14" i="2"/>
  <c r="R22" i="2"/>
  <c r="R30" i="2"/>
  <c r="R38" i="2"/>
  <c r="R46" i="2"/>
  <c r="R35" i="2"/>
  <c r="R47" i="2"/>
  <c r="R2" i="2"/>
  <c r="Q3" i="2"/>
  <c r="Q7" i="2"/>
  <c r="Q11" i="2"/>
  <c r="Q15" i="2"/>
  <c r="Q19" i="2"/>
  <c r="Q23" i="2"/>
  <c r="Q27" i="2"/>
  <c r="Q31" i="2"/>
  <c r="Q35" i="2"/>
  <c r="Q39" i="2"/>
  <c r="Q43" i="2"/>
  <c r="Q47" i="2"/>
  <c r="Q8" i="2"/>
  <c r="Q16" i="2"/>
  <c r="Q20" i="2"/>
  <c r="Q24" i="2"/>
  <c r="Q28" i="2"/>
  <c r="Q36" i="2"/>
  <c r="Q40" i="2"/>
  <c r="Q44" i="2"/>
  <c r="Q17" i="2"/>
  <c r="Q25" i="2"/>
  <c r="Q33" i="2"/>
  <c r="Q45" i="2"/>
  <c r="Q10" i="2"/>
  <c r="Q14" i="2"/>
  <c r="Q30" i="2"/>
  <c r="Q38" i="2"/>
  <c r="Q4" i="2"/>
  <c r="Q12" i="2"/>
  <c r="Q32" i="2"/>
  <c r="Q9" i="2"/>
  <c r="Q37" i="2"/>
  <c r="Q22" i="2"/>
  <c r="Q42" i="2"/>
  <c r="Q5" i="2"/>
  <c r="Q13" i="2"/>
  <c r="Q21" i="2"/>
  <c r="Q29" i="2"/>
  <c r="Q41" i="2"/>
  <c r="Q6" i="2"/>
  <c r="Q18" i="2"/>
  <c r="Q26" i="2"/>
  <c r="Q34" i="2"/>
  <c r="Q46" i="2"/>
  <c r="Q2" i="2"/>
  <c r="P3" i="2"/>
  <c r="P7" i="2"/>
  <c r="P11" i="2"/>
  <c r="P15" i="2"/>
  <c r="P19" i="2"/>
  <c r="P23" i="2"/>
  <c r="P27" i="2"/>
  <c r="P31" i="2"/>
  <c r="P35" i="2"/>
  <c r="P39" i="2"/>
  <c r="P43" i="2"/>
  <c r="P47" i="2"/>
  <c r="P24" i="2"/>
  <c r="P28" i="2"/>
  <c r="P36" i="2"/>
  <c r="P40" i="2"/>
  <c r="P44" i="2"/>
  <c r="P30" i="2"/>
  <c r="P42" i="2"/>
  <c r="P4" i="2"/>
  <c r="P8" i="2"/>
  <c r="P12" i="2"/>
  <c r="P16" i="2"/>
  <c r="P20" i="2"/>
  <c r="P32" i="2"/>
  <c r="P34" i="2"/>
  <c r="P9" i="2"/>
  <c r="P13" i="2"/>
  <c r="P17" i="2"/>
  <c r="P21" i="2"/>
  <c r="P25" i="2"/>
  <c r="P29" i="2"/>
  <c r="P33" i="2"/>
  <c r="P37" i="2"/>
  <c r="P41" i="2"/>
  <c r="P45" i="2"/>
  <c r="P6" i="2"/>
  <c r="P10" i="2"/>
  <c r="P14" i="2"/>
  <c r="P18" i="2"/>
  <c r="P22" i="2"/>
  <c r="P26" i="2"/>
  <c r="P38" i="2"/>
  <c r="P46" i="2"/>
  <c r="P2" i="2"/>
  <c r="O3" i="2"/>
  <c r="O7" i="2"/>
  <c r="O11" i="2"/>
  <c r="O15" i="2"/>
  <c r="O19" i="2"/>
  <c r="O23" i="2"/>
  <c r="O27" i="2"/>
  <c r="O31" i="2"/>
  <c r="O35" i="2"/>
  <c r="O39" i="2"/>
  <c r="O43" i="2"/>
  <c r="O47" i="2"/>
  <c r="O24" i="2"/>
  <c r="O32" i="2"/>
  <c r="O36" i="2"/>
  <c r="O40" i="2"/>
  <c r="O26" i="2"/>
  <c r="O34" i="2"/>
  <c r="O42" i="2"/>
  <c r="O4" i="2"/>
  <c r="O8" i="2"/>
  <c r="O12" i="2"/>
  <c r="O16" i="2"/>
  <c r="O20" i="2"/>
  <c r="O28" i="2"/>
  <c r="O44" i="2"/>
  <c r="O9" i="2"/>
  <c r="O13" i="2"/>
  <c r="O17" i="2"/>
  <c r="O21" i="2"/>
  <c r="O25" i="2"/>
  <c r="O29" i="2"/>
  <c r="O33" i="2"/>
  <c r="O37" i="2"/>
  <c r="O41" i="2"/>
  <c r="O45" i="2"/>
  <c r="O6" i="2"/>
  <c r="O10" i="2"/>
  <c r="O14" i="2"/>
  <c r="O18" i="2"/>
  <c r="O22" i="2"/>
  <c r="O30" i="2"/>
  <c r="O38" i="2"/>
  <c r="O46" i="2"/>
  <c r="O2" i="2"/>
  <c r="T3" i="1"/>
  <c r="T7" i="1"/>
  <c r="T11" i="1"/>
  <c r="T15" i="1"/>
  <c r="T19" i="1"/>
  <c r="T23" i="1"/>
  <c r="T27" i="1"/>
  <c r="T31" i="1"/>
  <c r="T35" i="1"/>
  <c r="T39" i="1"/>
  <c r="T43" i="1"/>
  <c r="T47" i="1"/>
  <c r="T20" i="1"/>
  <c r="T24" i="1"/>
  <c r="T32" i="1"/>
  <c r="T36" i="1"/>
  <c r="T40" i="1"/>
  <c r="T44" i="1"/>
  <c r="T38" i="1"/>
  <c r="T46" i="1"/>
  <c r="T4" i="1"/>
  <c r="T8" i="1"/>
  <c r="T12" i="1"/>
  <c r="T16" i="1"/>
  <c r="T28" i="1"/>
  <c r="T34" i="1"/>
  <c r="T5" i="1"/>
  <c r="T9" i="1"/>
  <c r="T13" i="1"/>
  <c r="T17" i="1"/>
  <c r="T21" i="1"/>
  <c r="T25" i="1"/>
  <c r="T29" i="1"/>
  <c r="T33" i="1"/>
  <c r="T37" i="1"/>
  <c r="T41" i="1"/>
  <c r="T45" i="1"/>
  <c r="T6" i="1"/>
  <c r="T10" i="1"/>
  <c r="T14" i="1"/>
  <c r="T18" i="1"/>
  <c r="T22" i="1"/>
  <c r="T26" i="1"/>
  <c r="T30" i="1"/>
  <c r="T42" i="1"/>
  <c r="S3" i="1"/>
  <c r="S7" i="1"/>
  <c r="S11" i="1"/>
  <c r="S15" i="1"/>
  <c r="S19" i="1"/>
  <c r="S23" i="1"/>
  <c r="S27" i="1"/>
  <c r="S31" i="1"/>
  <c r="S35" i="1"/>
  <c r="S39" i="1"/>
  <c r="S43" i="1"/>
  <c r="S47" i="1"/>
  <c r="S20" i="1"/>
  <c r="S24" i="1"/>
  <c r="S32" i="1"/>
  <c r="S36" i="1"/>
  <c r="S40" i="1"/>
  <c r="S30" i="1"/>
  <c r="S38" i="1"/>
  <c r="S46" i="1"/>
  <c r="S4" i="1"/>
  <c r="S8" i="1"/>
  <c r="S12" i="1"/>
  <c r="S16" i="1"/>
  <c r="S28" i="1"/>
  <c r="S44" i="1"/>
  <c r="S5" i="1"/>
  <c r="S9" i="1"/>
  <c r="S13" i="1"/>
  <c r="S17" i="1"/>
  <c r="S21" i="1"/>
  <c r="S25" i="1"/>
  <c r="S29" i="1"/>
  <c r="S33" i="1"/>
  <c r="S37" i="1"/>
  <c r="S41" i="1"/>
  <c r="S45" i="1"/>
  <c r="S6" i="1"/>
  <c r="S10" i="1"/>
  <c r="S14" i="1"/>
  <c r="S18" i="1"/>
  <c r="S22" i="1"/>
  <c r="S26" i="1"/>
  <c r="S34" i="1"/>
  <c r="S42" i="1"/>
  <c r="R3" i="1"/>
  <c r="R7" i="1"/>
  <c r="R11" i="1"/>
  <c r="R15" i="1"/>
  <c r="R19" i="1"/>
  <c r="R23" i="1"/>
  <c r="R27" i="1"/>
  <c r="R31" i="1"/>
  <c r="R35" i="1"/>
  <c r="R39" i="1"/>
  <c r="R43" i="1"/>
  <c r="R47" i="1"/>
  <c r="R16" i="1"/>
  <c r="R24" i="1"/>
  <c r="R28" i="1"/>
  <c r="R32" i="1"/>
  <c r="R40" i="1"/>
  <c r="R44" i="1"/>
  <c r="R34" i="1"/>
  <c r="R46" i="1"/>
  <c r="R4" i="1"/>
  <c r="R8" i="1"/>
  <c r="R12" i="1"/>
  <c r="R20" i="1"/>
  <c r="R36" i="1"/>
  <c r="R38" i="1"/>
  <c r="R5" i="1"/>
  <c r="R9" i="1"/>
  <c r="R13" i="1"/>
  <c r="R17" i="1"/>
  <c r="R21" i="1"/>
  <c r="R25" i="1"/>
  <c r="R29" i="1"/>
  <c r="R33" i="1"/>
  <c r="R37" i="1"/>
  <c r="R41" i="1"/>
  <c r="R45" i="1"/>
  <c r="R6" i="1"/>
  <c r="R10" i="1"/>
  <c r="R14" i="1"/>
  <c r="R18" i="1"/>
  <c r="R22" i="1"/>
  <c r="R26" i="1"/>
  <c r="R30" i="1"/>
  <c r="R42" i="1"/>
  <c r="Q3" i="1"/>
  <c r="Q7" i="1"/>
  <c r="Q11" i="1"/>
  <c r="Q15" i="1"/>
  <c r="Q19" i="1"/>
  <c r="Q23" i="1"/>
  <c r="Q27" i="1"/>
  <c r="Q31" i="1"/>
  <c r="Q35" i="1"/>
  <c r="Q39" i="1"/>
  <c r="Q43" i="1"/>
  <c r="Q47" i="1"/>
  <c r="Q20" i="1"/>
  <c r="Q24" i="1"/>
  <c r="Q28" i="1"/>
  <c r="Q36" i="1"/>
  <c r="Q44" i="1"/>
  <c r="Q38" i="1"/>
  <c r="Q4" i="1"/>
  <c r="Q8" i="1"/>
  <c r="Q12" i="1"/>
  <c r="Q16" i="1"/>
  <c r="Q32" i="1"/>
  <c r="Q40" i="1"/>
  <c r="Q34" i="1"/>
  <c r="Q46" i="1"/>
  <c r="Q5" i="1"/>
  <c r="Q9" i="1"/>
  <c r="Q13" i="1"/>
  <c r="Q17" i="1"/>
  <c r="Q21" i="1"/>
  <c r="Q25" i="1"/>
  <c r="Q29" i="1"/>
  <c r="Q33" i="1"/>
  <c r="Q37" i="1"/>
  <c r="Q41" i="1"/>
  <c r="Q45" i="1"/>
  <c r="Q6" i="1"/>
  <c r="Q10" i="1"/>
  <c r="Q14" i="1"/>
  <c r="Q18" i="1"/>
  <c r="Q22" i="1"/>
  <c r="Q26" i="1"/>
  <c r="Q30" i="1"/>
  <c r="Q42" i="1"/>
  <c r="P3" i="1"/>
  <c r="P7" i="1"/>
  <c r="P11" i="1"/>
  <c r="P15" i="1"/>
  <c r="P19" i="1"/>
  <c r="P23" i="1"/>
  <c r="P27" i="1"/>
  <c r="P31" i="1"/>
  <c r="P35" i="1"/>
  <c r="P39" i="1"/>
  <c r="P43" i="1"/>
  <c r="P47" i="1"/>
  <c r="P8" i="1"/>
  <c r="P12" i="1"/>
  <c r="P16" i="1"/>
  <c r="P20" i="1"/>
  <c r="P24" i="1"/>
  <c r="P28" i="1"/>
  <c r="P32" i="1"/>
  <c r="P36" i="1"/>
  <c r="P40" i="1"/>
  <c r="P44" i="1"/>
  <c r="P9" i="1"/>
  <c r="P13" i="1"/>
  <c r="P17" i="1"/>
  <c r="P21" i="1"/>
  <c r="P25" i="1"/>
  <c r="P29" i="1"/>
  <c r="P33" i="1"/>
  <c r="P37" i="1"/>
  <c r="P41" i="1"/>
  <c r="P45" i="1"/>
  <c r="P6" i="1"/>
  <c r="P10" i="1"/>
  <c r="P14" i="1"/>
  <c r="P18" i="1"/>
  <c r="P22" i="1"/>
  <c r="P26" i="1"/>
  <c r="P30" i="1"/>
  <c r="P34" i="1"/>
  <c r="P38" i="1"/>
  <c r="P42" i="1"/>
  <c r="P46" i="1"/>
  <c r="P4" i="1"/>
  <c r="O3" i="1"/>
  <c r="O7" i="1"/>
  <c r="O11" i="1"/>
  <c r="O15" i="1"/>
  <c r="O19" i="1"/>
  <c r="O23" i="1"/>
  <c r="O27" i="1"/>
  <c r="O31" i="1"/>
  <c r="O35" i="1"/>
  <c r="O39" i="1"/>
  <c r="O43" i="1"/>
  <c r="O47" i="1"/>
  <c r="O22" i="1"/>
  <c r="O30" i="1"/>
  <c r="O42" i="1"/>
  <c r="O4" i="1"/>
  <c r="O8" i="1"/>
  <c r="O12" i="1"/>
  <c r="O16" i="1"/>
  <c r="O20" i="1"/>
  <c r="O24" i="1"/>
  <c r="O28" i="1"/>
  <c r="O32" i="1"/>
  <c r="O36" i="1"/>
  <c r="O40" i="1"/>
  <c r="O44" i="1"/>
  <c r="O6" i="1"/>
  <c r="O14" i="1"/>
  <c r="O26" i="1"/>
  <c r="O34" i="1"/>
  <c r="O38" i="1"/>
  <c r="O46" i="1"/>
  <c r="O9" i="1"/>
  <c r="O13" i="1"/>
  <c r="O17" i="1"/>
  <c r="O21" i="1"/>
  <c r="O25" i="1"/>
  <c r="O29" i="1"/>
  <c r="O33" i="1"/>
  <c r="O37" i="1"/>
  <c r="O41" i="1"/>
  <c r="O45" i="1"/>
  <c r="O10" i="1"/>
  <c r="O18" i="1"/>
  <c r="P2" i="1"/>
  <c r="Q2" i="1"/>
  <c r="R2" i="1"/>
  <c r="S2" i="1"/>
  <c r="T2" i="1"/>
  <c r="O2" i="1"/>
  <c r="M9" i="5"/>
  <c r="M25" i="5"/>
  <c r="M41" i="5"/>
  <c r="M15" i="5"/>
  <c r="M35" i="5"/>
  <c r="M22" i="5"/>
  <c r="M16" i="5"/>
  <c r="M32" i="5"/>
  <c r="M11" i="5"/>
  <c r="M23" i="5"/>
  <c r="M34" i="5"/>
  <c r="H3" i="5"/>
  <c r="H19" i="5"/>
  <c r="H35" i="5"/>
  <c r="H20" i="5"/>
  <c r="H40" i="5"/>
  <c r="H8" i="5"/>
  <c r="H42" i="5"/>
  <c r="H17" i="5"/>
  <c r="H33" i="5"/>
  <c r="H6" i="5"/>
  <c r="H22" i="5"/>
  <c r="H46" i="5"/>
  <c r="G11" i="5"/>
  <c r="G27" i="5"/>
  <c r="G43" i="5"/>
  <c r="G44" i="5"/>
  <c r="G8" i="5"/>
  <c r="G24" i="5"/>
  <c r="G30" i="5"/>
  <c r="G13" i="5"/>
  <c r="G29" i="5"/>
  <c r="G45" i="5"/>
  <c r="G22" i="5"/>
  <c r="F19" i="5"/>
  <c r="F35" i="5"/>
  <c r="F20" i="5"/>
  <c r="F44" i="5"/>
  <c r="F24" i="5"/>
  <c r="F17" i="5"/>
  <c r="F33" i="5"/>
  <c r="F6" i="5"/>
  <c r="F22" i="5"/>
  <c r="F14" i="5"/>
  <c r="M43" i="5"/>
  <c r="M30" i="5"/>
  <c r="M20" i="5"/>
  <c r="M42" i="5"/>
  <c r="H31" i="5"/>
  <c r="H36" i="5"/>
  <c r="H32" i="5"/>
  <c r="H45" i="5"/>
  <c r="G7" i="5"/>
  <c r="G36" i="5"/>
  <c r="G18" i="5"/>
  <c r="G14" i="5"/>
  <c r="F15" i="5"/>
  <c r="F47" i="5"/>
  <c r="F16" i="5"/>
  <c r="F45" i="5"/>
  <c r="M21" i="5"/>
  <c r="M37" i="5"/>
  <c r="M7" i="5"/>
  <c r="M27" i="5"/>
  <c r="M47" i="5"/>
  <c r="M46" i="5"/>
  <c r="M12" i="5"/>
  <c r="M28" i="5"/>
  <c r="M3" i="5"/>
  <c r="M14" i="5"/>
  <c r="M26" i="5"/>
  <c r="M2" i="5"/>
  <c r="H7" i="5"/>
  <c r="H23" i="5"/>
  <c r="H39" i="5"/>
  <c r="H24" i="5"/>
  <c r="H44" i="5"/>
  <c r="H12" i="5"/>
  <c r="H5" i="5"/>
  <c r="H21" i="5"/>
  <c r="H37" i="5"/>
  <c r="H10" i="5"/>
  <c r="H26" i="5"/>
  <c r="H2" i="5"/>
  <c r="G15" i="5"/>
  <c r="G31" i="5"/>
  <c r="G47" i="5"/>
  <c r="G26" i="5"/>
  <c r="G12" i="5"/>
  <c r="G32" i="5"/>
  <c r="G38" i="5"/>
  <c r="G17" i="5"/>
  <c r="G33" i="5"/>
  <c r="G6" i="5"/>
  <c r="G34" i="5"/>
  <c r="F7" i="5"/>
  <c r="F23" i="5"/>
  <c r="F39" i="5"/>
  <c r="F28" i="5"/>
  <c r="F30" i="5"/>
  <c r="F8" i="5"/>
  <c r="F40" i="5"/>
  <c r="F21" i="5"/>
  <c r="F37" i="5"/>
  <c r="F10" i="5"/>
  <c r="F26" i="5"/>
  <c r="F41" i="5"/>
  <c r="M13" i="5"/>
  <c r="M29" i="5"/>
  <c r="M10" i="5"/>
  <c r="M36" i="5"/>
  <c r="H15" i="5"/>
  <c r="H4" i="5"/>
  <c r="H29" i="5"/>
  <c r="H18" i="5"/>
  <c r="G23" i="5"/>
  <c r="G4" i="5"/>
  <c r="G9" i="5"/>
  <c r="G41" i="5"/>
  <c r="G2" i="5"/>
  <c r="F36" i="5"/>
  <c r="F13" i="5"/>
  <c r="F18" i="5"/>
  <c r="M17" i="5"/>
  <c r="M33" i="5"/>
  <c r="M44" i="5"/>
  <c r="M19" i="5"/>
  <c r="M18" i="5"/>
  <c r="M38" i="5"/>
  <c r="M8" i="5"/>
  <c r="M24" i="5"/>
  <c r="M40" i="5"/>
  <c r="M39" i="5"/>
  <c r="M6" i="5"/>
  <c r="H11" i="5"/>
  <c r="H27" i="5"/>
  <c r="H43" i="5"/>
  <c r="H28" i="5"/>
  <c r="H38" i="5"/>
  <c r="H16" i="5"/>
  <c r="H9" i="5"/>
  <c r="H25" i="5"/>
  <c r="H41" i="5"/>
  <c r="H14" i="5"/>
  <c r="H30" i="5"/>
  <c r="G3" i="5"/>
  <c r="G19" i="5"/>
  <c r="G35" i="5"/>
  <c r="G28" i="5"/>
  <c r="G42" i="5"/>
  <c r="G16" i="5"/>
  <c r="G40" i="5"/>
  <c r="G5" i="5"/>
  <c r="G21" i="5"/>
  <c r="G37" i="5"/>
  <c r="G10" i="5"/>
  <c r="G46" i="5"/>
  <c r="F11" i="5"/>
  <c r="F27" i="5"/>
  <c r="F43" i="5"/>
  <c r="F32" i="5"/>
  <c r="F38" i="5"/>
  <c r="F12" i="5"/>
  <c r="F9" i="5"/>
  <c r="F25" i="5"/>
  <c r="F34" i="5"/>
  <c r="M45" i="5"/>
  <c r="M4" i="5"/>
  <c r="M31" i="5"/>
  <c r="H47" i="5"/>
  <c r="H13" i="5"/>
  <c r="H34" i="5"/>
  <c r="G39" i="5"/>
  <c r="G20" i="5"/>
  <c r="G25" i="5"/>
  <c r="F31" i="5"/>
  <c r="F46" i="5"/>
  <c r="F29" i="5"/>
  <c r="F42" i="5"/>
</calcChain>
</file>

<file path=xl/sharedStrings.xml><?xml version="1.0" encoding="utf-8"?>
<sst xmlns="http://schemas.openxmlformats.org/spreadsheetml/2006/main" count="2694" uniqueCount="1323">
  <si>
    <t>Chromosome</t>
  </si>
  <si>
    <t>Sample</t>
  </si>
  <si>
    <t>Ploidy</t>
  </si>
  <si>
    <t>vcflib</t>
  </si>
  <si>
    <t>cpu_t1_time</t>
  </si>
  <si>
    <t>cpu_t2_time</t>
  </si>
  <si>
    <t>speedup_cpu_t2_vs_t1</t>
  </si>
  <si>
    <t>speedup_cpu_t1_vs_vcflib</t>
  </si>
  <si>
    <t>speedup_cpu_t2_vs_vcflib</t>
  </si>
  <si>
    <t>Notes</t>
  </si>
  <si>
    <t>chr1</t>
  </si>
  <si>
    <t>NA12877</t>
  </si>
  <si>
    <t>25m 8s 37ms</t>
  </si>
  <si>
    <t>4s 743ms</t>
  </si>
  <si>
    <t>7s 2ms</t>
  </si>
  <si>
    <t>.67x</t>
  </si>
  <si>
    <t>317.94x</t>
  </si>
  <si>
    <t>215.36x</t>
  </si>
  <si>
    <t>vcf2fasta-rust Validation Passed; vcflib Validation Passed</t>
  </si>
  <si>
    <t>NA12878</t>
  </si>
  <si>
    <t>13m 53s 523ms</t>
  </si>
  <si>
    <t>8s 489ms</t>
  </si>
  <si>
    <t>4s 282ms</t>
  </si>
  <si>
    <t>1.98x</t>
  </si>
  <si>
    <t>98.18x</t>
  </si>
  <si>
    <t>194.66x</t>
  </si>
  <si>
    <t>chr2</t>
  </si>
  <si>
    <t>14s 172ms</t>
  </si>
  <si>
    <t>5s 130ms</t>
  </si>
  <si>
    <t>5s 16ms</t>
  </si>
  <si>
    <t>1.02x</t>
  </si>
  <si>
    <t>2.76x</t>
  </si>
  <si>
    <t>2.82x</t>
  </si>
  <si>
    <t>N/A</t>
  </si>
  <si>
    <t>5s 379ms</t>
  </si>
  <si>
    <t>5s 794ms</t>
  </si>
  <si>
    <t>.92x</t>
  </si>
  <si>
    <t>chr3</t>
  </si>
  <si>
    <t>9s 569ms</t>
  </si>
  <si>
    <t>4s 423ms</t>
  </si>
  <si>
    <t>10s 485ms</t>
  </si>
  <si>
    <t>.42x</t>
  </si>
  <si>
    <t>2.16x</t>
  </si>
  <si>
    <t>.91x</t>
  </si>
  <si>
    <t>10s 342ms</t>
  </si>
  <si>
    <t>4s 217ms</t>
  </si>
  <si>
    <t>3s 449ms</t>
  </si>
  <si>
    <t>1.22x</t>
  </si>
  <si>
    <t>2.45x</t>
  </si>
  <si>
    <t>2.99x</t>
  </si>
  <si>
    <t>chr4</t>
  </si>
  <si>
    <t>11s 731ms</t>
  </si>
  <si>
    <t>5s 255ms</t>
  </si>
  <si>
    <t>3s 708ms</t>
  </si>
  <si>
    <t>1.41x</t>
  </si>
  <si>
    <t>2.23x</t>
  </si>
  <si>
    <t>3.16x</t>
  </si>
  <si>
    <t>12s 991ms</t>
  </si>
  <si>
    <t>3s 211ms</t>
  </si>
  <si>
    <t>6s 916ms</t>
  </si>
  <si>
    <t>.46x</t>
  </si>
  <si>
    <t>4.04x</t>
  </si>
  <si>
    <t>1.87x</t>
  </si>
  <si>
    <t>chr5</t>
  </si>
  <si>
    <t>15s 926ms</t>
  </si>
  <si>
    <t>5s 976ms</t>
  </si>
  <si>
    <t>2s 852ms</t>
  </si>
  <si>
    <t>2.09x</t>
  </si>
  <si>
    <t>2.66x</t>
  </si>
  <si>
    <t>5.58x</t>
  </si>
  <si>
    <t>14s 898ms</t>
  </si>
  <si>
    <t>3s 821ms</t>
  </si>
  <si>
    <t>4s 58ms</t>
  </si>
  <si>
    <t>.94x</t>
  </si>
  <si>
    <t>3.89x</t>
  </si>
  <si>
    <t>3.67x</t>
  </si>
  <si>
    <t>chr6</t>
  </si>
  <si>
    <t>9s 364ms</t>
  </si>
  <si>
    <t>4s 261ms</t>
  </si>
  <si>
    <t>5s 801ms</t>
  </si>
  <si>
    <t>.73x</t>
  </si>
  <si>
    <t>2.19x</t>
  </si>
  <si>
    <t>1.61x</t>
  </si>
  <si>
    <t>9s 680ms</t>
  </si>
  <si>
    <t>2s 789ms</t>
  </si>
  <si>
    <t>5s 569ms</t>
  </si>
  <si>
    <t>.50x</t>
  </si>
  <si>
    <t>3.47x</t>
  </si>
  <si>
    <t>1.73x</t>
  </si>
  <si>
    <t>chr7</t>
  </si>
  <si>
    <t>9s 865ms</t>
  </si>
  <si>
    <t>3s 254ms</t>
  </si>
  <si>
    <t>3s 438ms</t>
  </si>
  <si>
    <t>3.03x</t>
  </si>
  <si>
    <t>2.86x</t>
  </si>
  <si>
    <t>9s 464ms</t>
  </si>
  <si>
    <t>2s 611ms</t>
  </si>
  <si>
    <t>2s 586ms</t>
  </si>
  <si>
    <t>1.00x</t>
  </si>
  <si>
    <t>3.62x</t>
  </si>
  <si>
    <t>3.66x</t>
  </si>
  <si>
    <t>chr8</t>
  </si>
  <si>
    <t>6s 15ms</t>
  </si>
  <si>
    <t>4s 663ms</t>
  </si>
  <si>
    <t>2s 339ms</t>
  </si>
  <si>
    <t>1.99x</t>
  </si>
  <si>
    <t>1.29x</t>
  </si>
  <si>
    <t>2.57x</t>
  </si>
  <si>
    <t>6s 235ms</t>
  </si>
  <si>
    <t>2s 400ms</t>
  </si>
  <si>
    <t>5s 897ms</t>
  </si>
  <si>
    <t>.40x</t>
  </si>
  <si>
    <t>2.59x</t>
  </si>
  <si>
    <t>1.05x</t>
  </si>
  <si>
    <t>chr9</t>
  </si>
  <si>
    <t>8m 26s 361ms</t>
  </si>
  <si>
    <t>2s 913ms</t>
  </si>
  <si>
    <t>6s 52ms</t>
  </si>
  <si>
    <t>.48x</t>
  </si>
  <si>
    <t>173.85x</t>
  </si>
  <si>
    <t>83.66x</t>
  </si>
  <si>
    <t>10m 24s 30ms</t>
  </si>
  <si>
    <t>2s 132ms</t>
  </si>
  <si>
    <t>3s 188ms</t>
  </si>
  <si>
    <t>.66x</t>
  </si>
  <si>
    <t>292.68x</t>
  </si>
  <si>
    <t>195.73x</t>
  </si>
  <si>
    <t>chr10</t>
  </si>
  <si>
    <t>7s 879ms</t>
  </si>
  <si>
    <t>3s 80ms</t>
  </si>
  <si>
    <t>3s 189ms</t>
  </si>
  <si>
    <t>.96x</t>
  </si>
  <si>
    <t>2.55x</t>
  </si>
  <si>
    <t>2.47x</t>
  </si>
  <si>
    <t>8s 687ms</t>
  </si>
  <si>
    <t>2s 226ms</t>
  </si>
  <si>
    <t>4s 395ms</t>
  </si>
  <si>
    <t>3.90x</t>
  </si>
  <si>
    <t>1.97x</t>
  </si>
  <si>
    <t>chr11</t>
  </si>
  <si>
    <t>8s 256ms</t>
  </si>
  <si>
    <t>3s 176ms</t>
  </si>
  <si>
    <t>2s 980ms</t>
  </si>
  <si>
    <t>1.06x</t>
  </si>
  <si>
    <t>2.77x</t>
  </si>
  <si>
    <t>5s 839ms</t>
  </si>
  <si>
    <t>3s 372ms</t>
  </si>
  <si>
    <t>3s 98ms</t>
  </si>
  <si>
    <t>1.08x</t>
  </si>
  <si>
    <t>1.88x</t>
  </si>
  <si>
    <t>chr12</t>
  </si>
  <si>
    <t>7s 864ms</t>
  </si>
  <si>
    <t>2s 934ms</t>
  </si>
  <si>
    <t>2s 141ms</t>
  </si>
  <si>
    <t>1.37x</t>
  </si>
  <si>
    <t>2.68x</t>
  </si>
  <si>
    <t>5s 928ms</t>
  </si>
  <si>
    <t>2s 563ms</t>
  </si>
  <si>
    <t>3s 427ms</t>
  </si>
  <si>
    <t>.74x</t>
  </si>
  <si>
    <t>2.31x</t>
  </si>
  <si>
    <t>1.72x</t>
  </si>
  <si>
    <t>chr13</t>
  </si>
  <si>
    <t>10m 1s 631ms</t>
  </si>
  <si>
    <t>2s 395ms</t>
  </si>
  <si>
    <t>1s 828ms</t>
  </si>
  <si>
    <t>1.31x</t>
  </si>
  <si>
    <t>251.15x</t>
  </si>
  <si>
    <t>329.13x</t>
  </si>
  <si>
    <t>10m 8s 155ms</t>
  </si>
  <si>
    <t>1s 876ms</t>
  </si>
  <si>
    <t>2s 841ms</t>
  </si>
  <si>
    <t>324.24x</t>
  </si>
  <si>
    <t>214.07x</t>
  </si>
  <si>
    <t>chr14</t>
  </si>
  <si>
    <t>10m 4s 655ms</t>
  </si>
  <si>
    <t>2s 245ms</t>
  </si>
  <si>
    <t>2s 467ms</t>
  </si>
  <si>
    <t>.90x</t>
  </si>
  <si>
    <t>269.36x</t>
  </si>
  <si>
    <t>245.10x</t>
  </si>
  <si>
    <t>10m 11s 186ms</t>
  </si>
  <si>
    <t>1s 725ms</t>
  </si>
  <si>
    <t>1s 736ms</t>
  </si>
  <si>
    <t>.99x</t>
  </si>
  <si>
    <t>354.24x</t>
  </si>
  <si>
    <t>352.07x</t>
  </si>
  <si>
    <t>chr15</t>
  </si>
  <si>
    <t>11m 21s 586ms</t>
  </si>
  <si>
    <t>2s 158ms</t>
  </si>
  <si>
    <t>1s 612ms</t>
  </si>
  <si>
    <t>1.33x</t>
  </si>
  <si>
    <t>315.83x</t>
  </si>
  <si>
    <t>422.78x</t>
  </si>
  <si>
    <t>11m 15s 399ms</t>
  </si>
  <si>
    <t>1s 534ms</t>
  </si>
  <si>
    <t>5s 91ms</t>
  </si>
  <si>
    <t>.30x</t>
  </si>
  <si>
    <t>440.40x</t>
  </si>
  <si>
    <t>132.66x</t>
  </si>
  <si>
    <t>chr16</t>
  </si>
  <si>
    <t>1m 40s 0ms</t>
  </si>
  <si>
    <t>1s 602ms</t>
  </si>
  <si>
    <t>1s 424ms</t>
  </si>
  <si>
    <t>1.12x</t>
  </si>
  <si>
    <t>62.41x</t>
  </si>
  <si>
    <t>70.24x</t>
  </si>
  <si>
    <t>1m 38s 991ms</t>
  </si>
  <si>
    <t>1s 419ms</t>
  </si>
  <si>
    <t>1s 954ms</t>
  </si>
  <si>
    <t>.72x</t>
  </si>
  <si>
    <t>69.78x</t>
  </si>
  <si>
    <t>50.65x</t>
  </si>
  <si>
    <t>chr17</t>
  </si>
  <si>
    <t>5s 17ms</t>
  </si>
  <si>
    <t>2s 206ms</t>
  </si>
  <si>
    <t>1s 463ms</t>
  </si>
  <si>
    <t>1.50x</t>
  </si>
  <si>
    <t>2.27x</t>
  </si>
  <si>
    <t>3.43x</t>
  </si>
  <si>
    <t>4s 340ms</t>
  </si>
  <si>
    <t>1s 393ms</t>
  </si>
  <si>
    <t>1s 298ms</t>
  </si>
  <si>
    <t>1.07x</t>
  </si>
  <si>
    <t>3.11x</t>
  </si>
  <si>
    <t>3.34x</t>
  </si>
  <si>
    <t>chr18</t>
  </si>
  <si>
    <t>4s 406ms</t>
  </si>
  <si>
    <t>1s 450ms</t>
  </si>
  <si>
    <t>1s 486ms</t>
  </si>
  <si>
    <t>.97x</t>
  </si>
  <si>
    <t>2.96x</t>
  </si>
  <si>
    <t>3s 842ms</t>
  </si>
  <si>
    <t>1s 294ms</t>
  </si>
  <si>
    <t>1s 336ms</t>
  </si>
  <si>
    <t>2.87x</t>
  </si>
  <si>
    <t>chr19</t>
  </si>
  <si>
    <t>8s 859ms</t>
  </si>
  <si>
    <t>1s 193ms</t>
  </si>
  <si>
    <t>0s 975ms</t>
  </si>
  <si>
    <t>7.42x</t>
  </si>
  <si>
    <t>9.08x</t>
  </si>
  <si>
    <t>8s 926ms</t>
  </si>
  <si>
    <t>0s 996ms</t>
  </si>
  <si>
    <t>1s 66ms</t>
  </si>
  <si>
    <t>.93x</t>
  </si>
  <si>
    <t>8.96x</t>
  </si>
  <si>
    <t>8.37x</t>
  </si>
  <si>
    <t>chr20</t>
  </si>
  <si>
    <t>4s 676ms</t>
  </si>
  <si>
    <t>1s 551ms</t>
  </si>
  <si>
    <t>1s 70ms</t>
  </si>
  <si>
    <t>1.44x</t>
  </si>
  <si>
    <t>3.01x</t>
  </si>
  <si>
    <t>4.37x</t>
  </si>
  <si>
    <t>2s 709ms</t>
  </si>
  <si>
    <t>1s 38ms</t>
  </si>
  <si>
    <t>1s 37ms</t>
  </si>
  <si>
    <t>2.61x</t>
  </si>
  <si>
    <t>chr21</t>
  </si>
  <si>
    <t>37s 736ms</t>
  </si>
  <si>
    <t>0s 745ms</t>
  </si>
  <si>
    <t>0s 688ms</t>
  </si>
  <si>
    <t>50.66x</t>
  </si>
  <si>
    <t>54.84x</t>
  </si>
  <si>
    <t>37s 936ms</t>
  </si>
  <si>
    <t>1s 97ms</t>
  </si>
  <si>
    <t>1s 149ms</t>
  </si>
  <si>
    <t>.95x</t>
  </si>
  <si>
    <t>34.57x</t>
  </si>
  <si>
    <t>33.00x</t>
  </si>
  <si>
    <t>chr22</t>
  </si>
  <si>
    <t>3m 54s 579ms</t>
  </si>
  <si>
    <t>0s 908ms</t>
  </si>
  <si>
    <t>1s 101ms</t>
  </si>
  <si>
    <t>.82x</t>
  </si>
  <si>
    <t>258.42x</t>
  </si>
  <si>
    <t>213.01x</t>
  </si>
  <si>
    <t>3m 46s 664ms</t>
  </si>
  <si>
    <t>1s 186ms</t>
  </si>
  <si>
    <t>1s 112ms</t>
  </si>
  <si>
    <t>191.08x</t>
  </si>
  <si>
    <t>203.82x</t>
  </si>
  <si>
    <t>chrX</t>
  </si>
  <si>
    <t>10s 252ms</t>
  </si>
  <si>
    <t>2s 463ms</t>
  </si>
  <si>
    <t>4.16x</t>
  </si>
  <si>
    <t>3.78x</t>
  </si>
  <si>
    <t>17s 666ms</t>
  </si>
  <si>
    <t>2s 354ms</t>
  </si>
  <si>
    <t>5s 808ms</t>
  </si>
  <si>
    <t>7.50x</t>
  </si>
  <si>
    <t>3.04x</t>
  </si>
  <si>
    <t>Dataset</t>
  </si>
  <si>
    <t>Platinum</t>
  </si>
  <si>
    <t>Variants</t>
  </si>
  <si>
    <t>vcf2fasta-rust Validation Passed (SKIPPED chr12:32192430 REF=T ALT=TTAAA GT=0|1 reason=overlap); vcflib Validation Failed (due to overlap)</t>
  </si>
  <si>
    <t>vcf2fasta-rust Validation Passed (SKIPPED chr2:118112315 REF=AAAAT ALT=A GT=0|1 reason=overlap); vcflib Validation Failed (due to overlap)</t>
  </si>
  <si>
    <t>12m 45s 197ms</t>
  </si>
  <si>
    <t>6s 759ms</t>
  </si>
  <si>
    <t>5s 614ms</t>
  </si>
  <si>
    <t>1.20x</t>
  </si>
  <si>
    <t>113.21x</t>
  </si>
  <si>
    <t>136.29x</t>
  </si>
  <si>
    <t>12m 48s 639ms</t>
  </si>
  <si>
    <t>6s 359ms</t>
  </si>
  <si>
    <t>7s 25ms</t>
  </si>
  <si>
    <t>120.87x</t>
  </si>
  <si>
    <t>109.40x</t>
  </si>
  <si>
    <t>14s 183ms</t>
  </si>
  <si>
    <t>8s 483ms</t>
  </si>
  <si>
    <t>4s 975ms</t>
  </si>
  <si>
    <t>1.70x</t>
  </si>
  <si>
    <t>1.67x</t>
  </si>
  <si>
    <t>2.85x</t>
  </si>
  <si>
    <t>3s 816ms</t>
  </si>
  <si>
    <t>5s 949ms</t>
  </si>
  <si>
    <t>.64x</t>
  </si>
  <si>
    <t>8s 833ms</t>
  </si>
  <si>
    <t>4s 526ms</t>
  </si>
  <si>
    <t>4s 437ms</t>
  </si>
  <si>
    <t>1.95x</t>
  </si>
  <si>
    <t>8s 15ms</t>
  </si>
  <si>
    <t>3s 183ms</t>
  </si>
  <si>
    <t>5s 685ms</t>
  </si>
  <si>
    <t>.55x</t>
  </si>
  <si>
    <t>2.51x</t>
  </si>
  <si>
    <t>1.40x</t>
  </si>
  <si>
    <t>8s 399ms</t>
  </si>
  <si>
    <t>4s 567ms</t>
  </si>
  <si>
    <t>3s 755ms</t>
  </si>
  <si>
    <t>1.21x</t>
  </si>
  <si>
    <t>1.83x</t>
  </si>
  <si>
    <t>9s 119ms</t>
  </si>
  <si>
    <t>4s 896ms</t>
  </si>
  <si>
    <t>3s 158ms</t>
  </si>
  <si>
    <t>1.55x</t>
  </si>
  <si>
    <t>1.86x</t>
  </si>
  <si>
    <t>2.88x</t>
  </si>
  <si>
    <t>12s 871ms</t>
  </si>
  <si>
    <t>4s 206ms</t>
  </si>
  <si>
    <t>5s 718ms</t>
  </si>
  <si>
    <t>3.06x</t>
  </si>
  <si>
    <t>2.25x</t>
  </si>
  <si>
    <t>13s 316ms</t>
  </si>
  <si>
    <t>2s 916ms</t>
  </si>
  <si>
    <t>2s 880ms</t>
  </si>
  <si>
    <t>1.01x</t>
  </si>
  <si>
    <t>4.56x</t>
  </si>
  <si>
    <t>4.62x</t>
  </si>
  <si>
    <t>7s 486ms</t>
  </si>
  <si>
    <t>3s 169ms</t>
  </si>
  <si>
    <t>5s 577ms</t>
  </si>
  <si>
    <t>.56x</t>
  </si>
  <si>
    <t>2.36x</t>
  </si>
  <si>
    <t>1.34x</t>
  </si>
  <si>
    <t>8s 94ms</t>
  </si>
  <si>
    <t>2s 810ms</t>
  </si>
  <si>
    <t>3s 948ms</t>
  </si>
  <si>
    <t>.71x</t>
  </si>
  <si>
    <t>2.05x</t>
  </si>
  <si>
    <t>8s 719ms</t>
  </si>
  <si>
    <t>2s 679ms</t>
  </si>
  <si>
    <t>5s 500ms</t>
  </si>
  <si>
    <t>3.25x</t>
  </si>
  <si>
    <t>1.58x</t>
  </si>
  <si>
    <t>7s 834ms</t>
  </si>
  <si>
    <t>2s 559ms</t>
  </si>
  <si>
    <t>6s 150ms</t>
  </si>
  <si>
    <t>.41x</t>
  </si>
  <si>
    <t>1.27x</t>
  </si>
  <si>
    <t>7s 534ms</t>
  </si>
  <si>
    <t>2s 548ms</t>
  </si>
  <si>
    <t>5s 134ms</t>
  </si>
  <si>
    <t>.49x</t>
  </si>
  <si>
    <t>2.95x</t>
  </si>
  <si>
    <t>1.46x</t>
  </si>
  <si>
    <t>8s 184ms</t>
  </si>
  <si>
    <t>2s 355ms</t>
  </si>
  <si>
    <t>4s 941ms</t>
  </si>
  <si>
    <t>.47x</t>
  </si>
  <si>
    <t>1.65x</t>
  </si>
  <si>
    <t>8m 1s 823ms</t>
  </si>
  <si>
    <t>3s 576ms</t>
  </si>
  <si>
    <t>2s 26ms</t>
  </si>
  <si>
    <t>1.76x</t>
  </si>
  <si>
    <t>134.74x</t>
  </si>
  <si>
    <t>237.87x</t>
  </si>
  <si>
    <t>8m 10s 956ms</t>
  </si>
  <si>
    <t>2s 89ms</t>
  </si>
  <si>
    <t>6s 381ms</t>
  </si>
  <si>
    <t>.32x</t>
  </si>
  <si>
    <t>235.01x</t>
  </si>
  <si>
    <t>76.94x</t>
  </si>
  <si>
    <t>6s 599ms</t>
  </si>
  <si>
    <t>2s 733ms</t>
  </si>
  <si>
    <t>3s 724ms</t>
  </si>
  <si>
    <t>2.41x</t>
  </si>
  <si>
    <t>1.77x</t>
  </si>
  <si>
    <t>7s 570ms</t>
  </si>
  <si>
    <t>2s 188ms</t>
  </si>
  <si>
    <t>4s 665ms</t>
  </si>
  <si>
    <t>3.46x</t>
  </si>
  <si>
    <t>1.62x</t>
  </si>
  <si>
    <t>8s 81ms</t>
  </si>
  <si>
    <t>2s 415ms</t>
  </si>
  <si>
    <t>4s 496ms</t>
  </si>
  <si>
    <t>.53x</t>
  </si>
  <si>
    <t>1.79x</t>
  </si>
  <si>
    <t>6s 499ms</t>
  </si>
  <si>
    <t>3s 471ms</t>
  </si>
  <si>
    <t>5s 467ms</t>
  </si>
  <si>
    <t>.63x</t>
  </si>
  <si>
    <t>1.18x</t>
  </si>
  <si>
    <t>6s 354ms</t>
  </si>
  <si>
    <t>2s 644ms</t>
  </si>
  <si>
    <t>3s 302ms</t>
  </si>
  <si>
    <t>.80x</t>
  </si>
  <si>
    <t>2.40x</t>
  </si>
  <si>
    <t>1.92x</t>
  </si>
  <si>
    <t>5s 979ms</t>
  </si>
  <si>
    <t>2s 122ms</t>
  </si>
  <si>
    <t>2s 960ms</t>
  </si>
  <si>
    <t>2.81x</t>
  </si>
  <si>
    <t>2.02x</t>
  </si>
  <si>
    <t>9m 26s 360ms</t>
  </si>
  <si>
    <t>1s 909ms</t>
  </si>
  <si>
    <t>3s 145ms</t>
  </si>
  <si>
    <t>.60x</t>
  </si>
  <si>
    <t>296.66x</t>
  </si>
  <si>
    <t>180.05x</t>
  </si>
  <si>
    <t>9m 25s 459ms</t>
  </si>
  <si>
    <t>1s 957ms</t>
  </si>
  <si>
    <t>4s 586ms</t>
  </si>
  <si>
    <t>288.88x</t>
  </si>
  <si>
    <t>123.30x</t>
  </si>
  <si>
    <t>9m 19s 207ms</t>
  </si>
  <si>
    <t>3s 93ms</t>
  </si>
  <si>
    <t>2s 532ms</t>
  </si>
  <si>
    <t>180.80x</t>
  </si>
  <si>
    <t>220.83x</t>
  </si>
  <si>
    <t>9m 22s 482ms</t>
  </si>
  <si>
    <t>2s 555ms</t>
  </si>
  <si>
    <t>1s 681ms</t>
  </si>
  <si>
    <t>1.51x</t>
  </si>
  <si>
    <t>220.15x</t>
  </si>
  <si>
    <t>334.61x</t>
  </si>
  <si>
    <t>10m 31s 676ms</t>
  </si>
  <si>
    <t>3s 213ms</t>
  </si>
  <si>
    <t>1s 563ms</t>
  </si>
  <si>
    <t>196.58x</t>
  </si>
  <si>
    <t>404.11x</t>
  </si>
  <si>
    <t>10m 44s 336ms</t>
  </si>
  <si>
    <t>2s 542ms</t>
  </si>
  <si>
    <t>1s 606ms</t>
  </si>
  <si>
    <t>253.46x</t>
  </si>
  <si>
    <t>401.15x</t>
  </si>
  <si>
    <t>1m 30s 842ms</t>
  </si>
  <si>
    <t>1s 967ms</t>
  </si>
  <si>
    <t>1s 396ms</t>
  </si>
  <si>
    <t>46.19x</t>
  </si>
  <si>
    <t>65.08x</t>
  </si>
  <si>
    <t>1m 40s 354ms</t>
  </si>
  <si>
    <t>1s 383ms</t>
  </si>
  <si>
    <t>1s 405ms</t>
  </si>
  <si>
    <t>.98x</t>
  </si>
  <si>
    <t>72.54x</t>
  </si>
  <si>
    <t>71.43x</t>
  </si>
  <si>
    <t>5s 81ms</t>
  </si>
  <si>
    <t>1s 611ms</t>
  </si>
  <si>
    <t>1s 408ms</t>
  </si>
  <si>
    <t>1.14x</t>
  </si>
  <si>
    <t>3.15x</t>
  </si>
  <si>
    <t>3.60x</t>
  </si>
  <si>
    <t>6s 91ms</t>
  </si>
  <si>
    <t>1s 273ms</t>
  </si>
  <si>
    <t>1s 308ms</t>
  </si>
  <si>
    <t>4.78x</t>
  </si>
  <si>
    <t>4.65x</t>
  </si>
  <si>
    <t>4s 955ms</t>
  </si>
  <si>
    <t>1s 739ms</t>
  </si>
  <si>
    <t>1s 306ms</t>
  </si>
  <si>
    <t>2.84x</t>
  </si>
  <si>
    <t>3.79x</t>
  </si>
  <si>
    <t>5s 398ms</t>
  </si>
  <si>
    <t>1s 251ms</t>
  </si>
  <si>
    <t>1s 346ms</t>
  </si>
  <si>
    <t>4.31x</t>
  </si>
  <si>
    <t>4.00x</t>
  </si>
  <si>
    <t>8s 228ms</t>
  </si>
  <si>
    <t>1s 293ms</t>
  </si>
  <si>
    <t>0s 948ms</t>
  </si>
  <si>
    <t>1.36x</t>
  </si>
  <si>
    <t>6.36x</t>
  </si>
  <si>
    <t>8.67x</t>
  </si>
  <si>
    <t>8s 720ms</t>
  </si>
  <si>
    <t>1s 14ms</t>
  </si>
  <si>
    <t>0s 968ms</t>
  </si>
  <si>
    <t>1.04x</t>
  </si>
  <si>
    <t>8.60x</t>
  </si>
  <si>
    <t>9.00x</t>
  </si>
  <si>
    <t>3s 732ms</t>
  </si>
  <si>
    <t>1s 552ms</t>
  </si>
  <si>
    <t>1s 3ms</t>
  </si>
  <si>
    <t>1.54x</t>
  </si>
  <si>
    <t>3.72x</t>
  </si>
  <si>
    <t>3s 609ms</t>
  </si>
  <si>
    <t>1s 51ms</t>
  </si>
  <si>
    <t>1s 9ms</t>
  </si>
  <si>
    <t>3.57x</t>
  </si>
  <si>
    <t>37s 531ms</t>
  </si>
  <si>
    <t>0s 799ms</t>
  </si>
  <si>
    <t>0s 677ms</t>
  </si>
  <si>
    <t>1.17x</t>
  </si>
  <si>
    <t>46.99x</t>
  </si>
  <si>
    <t>55.43x</t>
  </si>
  <si>
    <t>37s 349ms</t>
  </si>
  <si>
    <t>1s 117ms</t>
  </si>
  <si>
    <t>0s 721ms</t>
  </si>
  <si>
    <t>33.43x</t>
  </si>
  <si>
    <t>51.83x</t>
  </si>
  <si>
    <t>3m 36s 434ms</t>
  </si>
  <si>
    <t>1s 171ms</t>
  </si>
  <si>
    <t>1s 271ms</t>
  </si>
  <si>
    <t>184.83x</t>
  </si>
  <si>
    <t>170.28x</t>
  </si>
  <si>
    <t>3m 36s 337ms</t>
  </si>
  <si>
    <t>0s 770ms</t>
  </si>
  <si>
    <t>0s 718ms</t>
  </si>
  <si>
    <t>281.10x</t>
  </si>
  <si>
    <t>301.46x</t>
  </si>
  <si>
    <t>8s 818ms</t>
  </si>
  <si>
    <t>3s 97ms</t>
  </si>
  <si>
    <t>3s 126ms</t>
  </si>
  <si>
    <t>16s 668ms</t>
  </si>
  <si>
    <t>2s 153ms</t>
  </si>
  <si>
    <t>3s 62ms</t>
  </si>
  <si>
    <t>.70x</t>
  </si>
  <si>
    <t>7.74x</t>
  </si>
  <si>
    <t>5.44x</t>
  </si>
  <si>
    <t>12m 21s 93ms</t>
  </si>
  <si>
    <t>7s 945ms</t>
  </si>
  <si>
    <t>6s 147ms</t>
  </si>
  <si>
    <t>93.28x</t>
  </si>
  <si>
    <t>120.55x</t>
  </si>
  <si>
    <t>12m 36s 583ms</t>
  </si>
  <si>
    <t>5s 261ms</t>
  </si>
  <si>
    <t>5s 902ms</t>
  </si>
  <si>
    <t>.89x</t>
  </si>
  <si>
    <t>143.81x</t>
  </si>
  <si>
    <t>128.19x</t>
  </si>
  <si>
    <t>14s 764ms</t>
  </si>
  <si>
    <t>6s 986ms</t>
  </si>
  <si>
    <t>4s 109ms</t>
  </si>
  <si>
    <t>2.11x</t>
  </si>
  <si>
    <t>3.59x</t>
  </si>
  <si>
    <t>4s 518ms</t>
  </si>
  <si>
    <t>6s 927ms</t>
  </si>
  <si>
    <t>.65x</t>
  </si>
  <si>
    <t>8s 511ms</t>
  </si>
  <si>
    <t>4s 416ms</t>
  </si>
  <si>
    <t>5s 739ms</t>
  </si>
  <si>
    <t>.76x</t>
  </si>
  <si>
    <t>1.48x</t>
  </si>
  <si>
    <t>13s 951ms</t>
  </si>
  <si>
    <t>5s 437ms</t>
  </si>
  <si>
    <t>5s 78ms</t>
  </si>
  <si>
    <t>2.56x</t>
  </si>
  <si>
    <t>2.74x</t>
  </si>
  <si>
    <t>8s 145ms</t>
  </si>
  <si>
    <t>4s 309ms</t>
  </si>
  <si>
    <t>5s 389ms</t>
  </si>
  <si>
    <t>.79x</t>
  </si>
  <si>
    <t>1.89x</t>
  </si>
  <si>
    <t>8s 121ms</t>
  </si>
  <si>
    <t>4s 148ms</t>
  </si>
  <si>
    <t>13s 90ms</t>
  </si>
  <si>
    <t>5s 624ms</t>
  </si>
  <si>
    <t>5s 396ms</t>
  </si>
  <si>
    <t>2.32x</t>
  </si>
  <si>
    <t>2.42x</t>
  </si>
  <si>
    <t>14s 246ms</t>
  </si>
  <si>
    <t>2s 953ms</t>
  </si>
  <si>
    <t>5s 442ms</t>
  </si>
  <si>
    <t>.54x</t>
  </si>
  <si>
    <t>4.82x</t>
  </si>
  <si>
    <t>7s 490ms</t>
  </si>
  <si>
    <t>5s 417ms</t>
  </si>
  <si>
    <t>2s 854ms</t>
  </si>
  <si>
    <t>1.38x</t>
  </si>
  <si>
    <t>2.62x</t>
  </si>
  <si>
    <t>7s 448ms</t>
  </si>
  <si>
    <t>3s 323ms</t>
  </si>
  <si>
    <t>4s 60ms</t>
  </si>
  <si>
    <t>.81x</t>
  </si>
  <si>
    <t>2.24x</t>
  </si>
  <si>
    <t>8s 229ms</t>
  </si>
  <si>
    <t>3s 555ms</t>
  </si>
  <si>
    <t>4s 41ms</t>
  </si>
  <si>
    <t>.87x</t>
  </si>
  <si>
    <t>2.03x</t>
  </si>
  <si>
    <t>7s 630ms</t>
  </si>
  <si>
    <t>2s 531ms</t>
  </si>
  <si>
    <t>6s 260ms</t>
  </si>
  <si>
    <t>6s 814ms</t>
  </si>
  <si>
    <t>3s 205ms</t>
  </si>
  <si>
    <t>5s 751ms</t>
  </si>
  <si>
    <t>2.12x</t>
  </si>
  <si>
    <t>8s 55ms</t>
  </si>
  <si>
    <t>4s 581ms</t>
  </si>
  <si>
    <t>.52x</t>
  </si>
  <si>
    <t>3.35x</t>
  </si>
  <si>
    <t>1.75x</t>
  </si>
  <si>
    <t>8m 1s 5ms</t>
  </si>
  <si>
    <t>4s 120ms</t>
  </si>
  <si>
    <t>3s 375ms</t>
  </si>
  <si>
    <t>116.74x</t>
  </si>
  <si>
    <t>142.53x</t>
  </si>
  <si>
    <t>7m 58s 810ms</t>
  </si>
  <si>
    <t>2s 285ms</t>
  </si>
  <si>
    <t>5s 248ms</t>
  </si>
  <si>
    <t>.43x</t>
  </si>
  <si>
    <t>209.58x</t>
  </si>
  <si>
    <t>91.23x</t>
  </si>
  <si>
    <t>5s 797ms</t>
  </si>
  <si>
    <t>3s 605ms</t>
  </si>
  <si>
    <t>3s 281ms</t>
  </si>
  <si>
    <t>1.09x</t>
  </si>
  <si>
    <t>1.60x</t>
  </si>
  <si>
    <t>8s 478ms</t>
  </si>
  <si>
    <t>2s 331ms</t>
  </si>
  <si>
    <t>2s 195ms</t>
  </si>
  <si>
    <t>3.63x</t>
  </si>
  <si>
    <t>3.86x</t>
  </si>
  <si>
    <t>6s 572ms</t>
  </si>
  <si>
    <t>3s 282ms</t>
  </si>
  <si>
    <t>2s 219ms</t>
  </si>
  <si>
    <t>1.47x</t>
  </si>
  <si>
    <t>2.00x</t>
  </si>
  <si>
    <t>6s 184ms</t>
  </si>
  <si>
    <t>2s 246ms</t>
  </si>
  <si>
    <t>3s 527ms</t>
  </si>
  <si>
    <t>2.75x</t>
  </si>
  <si>
    <t>6s 769ms</t>
  </si>
  <si>
    <t>2s 932ms</t>
  </si>
  <si>
    <t>2s 326ms</t>
  </si>
  <si>
    <t>1.26x</t>
  </si>
  <si>
    <t>2.30x</t>
  </si>
  <si>
    <t>2.91x</t>
  </si>
  <si>
    <t>2s 79ms</t>
  </si>
  <si>
    <t>4s 727ms</t>
  </si>
  <si>
    <t>8m 59s 690ms</t>
  </si>
  <si>
    <t>2s 493ms</t>
  </si>
  <si>
    <t>5s 990ms</t>
  </si>
  <si>
    <t>216.51x</t>
  </si>
  <si>
    <t>90.09x</t>
  </si>
  <si>
    <t>9m 6s 282ms</t>
  </si>
  <si>
    <t>1s 787ms</t>
  </si>
  <si>
    <t>5s 11ms</t>
  </si>
  <si>
    <t>.35x</t>
  </si>
  <si>
    <t>305.74x</t>
  </si>
  <si>
    <t>109.01x</t>
  </si>
  <si>
    <t>9m 9s 509ms</t>
  </si>
  <si>
    <t>2s 304ms</t>
  </si>
  <si>
    <t>1s 585ms</t>
  </si>
  <si>
    <t>1.45x</t>
  </si>
  <si>
    <t>238.51x</t>
  </si>
  <si>
    <t>346.66x</t>
  </si>
  <si>
    <t>9m 21s 466ms</t>
  </si>
  <si>
    <t>3s 106ms</t>
  </si>
  <si>
    <t>1s 843ms</t>
  </si>
  <si>
    <t>1.68x</t>
  </si>
  <si>
    <t>180.75x</t>
  </si>
  <si>
    <t>304.72x</t>
  </si>
  <si>
    <t>10m 23s 547ms</t>
  </si>
  <si>
    <t>3s 419ms</t>
  </si>
  <si>
    <t>2s 684ms</t>
  </si>
  <si>
    <t>182.38x</t>
  </si>
  <si>
    <t>232.31x</t>
  </si>
  <si>
    <t>10m 31s 632ms</t>
  </si>
  <si>
    <t>3s 124ms</t>
  </si>
  <si>
    <t>1s 922ms</t>
  </si>
  <si>
    <t>202.21x</t>
  </si>
  <si>
    <t>328.57x</t>
  </si>
  <si>
    <t>1m 30s 981ms</t>
  </si>
  <si>
    <t>2s 469ms</t>
  </si>
  <si>
    <t>1s 643ms</t>
  </si>
  <si>
    <t>36.85x</t>
  </si>
  <si>
    <t>55.38x</t>
  </si>
  <si>
    <t>1m 29s 397ms</t>
  </si>
  <si>
    <t>2s 885ms</t>
  </si>
  <si>
    <t>1s 442ms</t>
  </si>
  <si>
    <t>30.98x</t>
  </si>
  <si>
    <t>62.01x</t>
  </si>
  <si>
    <t>4s 858ms</t>
  </si>
  <si>
    <t>2s 504ms</t>
  </si>
  <si>
    <t>2s 124ms</t>
  </si>
  <si>
    <t>1.94x</t>
  </si>
  <si>
    <t>2.28x</t>
  </si>
  <si>
    <t>4s 845ms</t>
  </si>
  <si>
    <t>1s 982ms</t>
  </si>
  <si>
    <t>1s 959ms</t>
  </si>
  <si>
    <t>2.44x</t>
  </si>
  <si>
    <t>3s 825ms</t>
  </si>
  <si>
    <t>2s 456ms</t>
  </si>
  <si>
    <t>1s 310ms</t>
  </si>
  <si>
    <t>2.92x</t>
  </si>
  <si>
    <t>3s 495ms</t>
  </si>
  <si>
    <t>1s 314ms</t>
  </si>
  <si>
    <t>2.70x</t>
  </si>
  <si>
    <t>2.65x</t>
  </si>
  <si>
    <t>7s 706ms</t>
  </si>
  <si>
    <t>1s 589ms</t>
  </si>
  <si>
    <t>1s 1ms</t>
  </si>
  <si>
    <t>4.84x</t>
  </si>
  <si>
    <t>7.70x</t>
  </si>
  <si>
    <t>9s 445ms</t>
  </si>
  <si>
    <t>2s 138ms</t>
  </si>
  <si>
    <t>.78x</t>
  </si>
  <si>
    <t>5.61x</t>
  </si>
  <si>
    <t>4.41x</t>
  </si>
  <si>
    <t>3s 99ms</t>
  </si>
  <si>
    <t>2s 191ms</t>
  </si>
  <si>
    <t>1s 27ms</t>
  </si>
  <si>
    <t>2.13x</t>
  </si>
  <si>
    <t>3s 946ms</t>
  </si>
  <si>
    <t>1s 582ms</t>
  </si>
  <si>
    <t>1s 645ms</t>
  </si>
  <si>
    <t>2.49x</t>
  </si>
  <si>
    <t>2.39x</t>
  </si>
  <si>
    <t>37s 240ms</t>
  </si>
  <si>
    <t>1s 91ms</t>
  </si>
  <si>
    <t>0s 683ms</t>
  </si>
  <si>
    <t>1.59x</t>
  </si>
  <si>
    <t>34.12x</t>
  </si>
  <si>
    <t>54.48x</t>
  </si>
  <si>
    <t>37s 884ms</t>
  </si>
  <si>
    <t>0s 725ms</t>
  </si>
  <si>
    <t>0s 687ms</t>
  </si>
  <si>
    <t>52.25x</t>
  </si>
  <si>
    <t>55.13x</t>
  </si>
  <si>
    <t>3m 29s 602ms</t>
  </si>
  <si>
    <t>1s 147ms</t>
  </si>
  <si>
    <t>0s 741ms</t>
  </si>
  <si>
    <t>182.75x</t>
  </si>
  <si>
    <t>282.96x</t>
  </si>
  <si>
    <t>3m 24s 258ms</t>
  </si>
  <si>
    <t>0s 769ms</t>
  </si>
  <si>
    <t>0s 793ms</t>
  </si>
  <si>
    <t>265.73x</t>
  </si>
  <si>
    <t>257.42x</t>
  </si>
  <si>
    <t>9s 529ms</t>
  </si>
  <si>
    <t>2s 734ms</t>
  </si>
  <si>
    <t>1s 673ms</t>
  </si>
  <si>
    <t>1.63x</t>
  </si>
  <si>
    <t>3.48x</t>
  </si>
  <si>
    <t>5.69x</t>
  </si>
  <si>
    <t>18s 722ms</t>
  </si>
  <si>
    <t>2s 175ms</t>
  </si>
  <si>
    <t>.39x</t>
  </si>
  <si>
    <t>3.44x</t>
  </si>
  <si>
    <t>12m 7s 868ms</t>
  </si>
  <si>
    <t>6s 541ms</t>
  </si>
  <si>
    <t>8s 845ms</t>
  </si>
  <si>
    <t>111.27x</t>
  </si>
  <si>
    <t>82.28x</t>
  </si>
  <si>
    <t>12m 32s 280ms</t>
  </si>
  <si>
    <t>6s 690ms</t>
  </si>
  <si>
    <t>7s 27ms</t>
  </si>
  <si>
    <t>112.44x</t>
  </si>
  <si>
    <t>107.05x</t>
  </si>
  <si>
    <t>14s 555ms</t>
  </si>
  <si>
    <t>5s 663ms</t>
  </si>
  <si>
    <t>5s 729ms</t>
  </si>
  <si>
    <t>2.54x</t>
  </si>
  <si>
    <t>5s 400ms</t>
  </si>
  <si>
    <t>6s 307ms</t>
  </si>
  <si>
    <t>.85x</t>
  </si>
  <si>
    <t>9s 648ms</t>
  </si>
  <si>
    <t>5s 31ms</t>
  </si>
  <si>
    <t>3s 935ms</t>
  </si>
  <si>
    <t>1.91x</t>
  </si>
  <si>
    <t>8s 213ms</t>
  </si>
  <si>
    <t>3s 109ms</t>
  </si>
  <si>
    <t>6s 138ms</t>
  </si>
  <si>
    <t>2.64x</t>
  </si>
  <si>
    <t>10s 847ms</t>
  </si>
  <si>
    <t>4s 21ms</t>
  </si>
  <si>
    <t>3s 880ms</t>
  </si>
  <si>
    <t>1.03x</t>
  </si>
  <si>
    <t>2.69x</t>
  </si>
  <si>
    <t>2.79x</t>
  </si>
  <si>
    <t>8s 407ms</t>
  </si>
  <si>
    <t>5s 172ms</t>
  </si>
  <si>
    <t>16s 613ms</t>
  </si>
  <si>
    <t>3s 426ms</t>
  </si>
  <si>
    <t>5s 422ms</t>
  </si>
  <si>
    <t>13s 572ms</t>
  </si>
  <si>
    <t>2s 911ms</t>
  </si>
  <si>
    <t>4s 766ms</t>
  </si>
  <si>
    <t>.61x</t>
  </si>
  <si>
    <t>4.66x</t>
  </si>
  <si>
    <t>8s 309ms</t>
  </si>
  <si>
    <t>2s 897ms</t>
  </si>
  <si>
    <t>3s 841ms</t>
  </si>
  <si>
    <t>.75x</t>
  </si>
  <si>
    <t>8s 445ms</t>
  </si>
  <si>
    <t>2s 775ms</t>
  </si>
  <si>
    <t>6s 13ms</t>
  </si>
  <si>
    <t>10s 10ms</t>
  </si>
  <si>
    <t>2s 804ms</t>
  </si>
  <si>
    <t>2s 515ms</t>
  </si>
  <si>
    <t>1.11x</t>
  </si>
  <si>
    <t>3.56x</t>
  </si>
  <si>
    <t>3.97x</t>
  </si>
  <si>
    <t>9s 112ms</t>
  </si>
  <si>
    <t>2s 564ms</t>
  </si>
  <si>
    <t>3s 745ms</t>
  </si>
  <si>
    <t>.68x</t>
  </si>
  <si>
    <t>3.55x</t>
  </si>
  <si>
    <t>2.43x</t>
  </si>
  <si>
    <t>7s 728ms</t>
  </si>
  <si>
    <t>2s 712ms</t>
  </si>
  <si>
    <t>3s 984ms</t>
  </si>
  <si>
    <t>1.93x</t>
  </si>
  <si>
    <t>6s 124ms</t>
  </si>
  <si>
    <t>3s 3ms</t>
  </si>
  <si>
    <t>3s 679ms</t>
  </si>
  <si>
    <t>1.66x</t>
  </si>
  <si>
    <t>7m 55s 444ms</t>
  </si>
  <si>
    <t>2s 288ms</t>
  </si>
  <si>
    <t>4s 698ms</t>
  </si>
  <si>
    <t>207.76x</t>
  </si>
  <si>
    <t>101.19x</t>
  </si>
  <si>
    <t>7m 41s 559ms</t>
  </si>
  <si>
    <t>2s 127ms</t>
  </si>
  <si>
    <t>4s 721ms</t>
  </si>
  <si>
    <t>.45x</t>
  </si>
  <si>
    <t>216.99x</t>
  </si>
  <si>
    <t>97.75x</t>
  </si>
  <si>
    <t>7s 412ms</t>
  </si>
  <si>
    <t>2s 412ms</t>
  </si>
  <si>
    <t>2s 759ms</t>
  </si>
  <si>
    <t>3.07x</t>
  </si>
  <si>
    <t>7s 617ms</t>
  </si>
  <si>
    <t>2s 169ms</t>
  </si>
  <si>
    <t>6s 62ms</t>
  </si>
  <si>
    <t>3.51x</t>
  </si>
  <si>
    <t>1.25x</t>
  </si>
  <si>
    <t>7s 918ms</t>
  </si>
  <si>
    <t>2s 655ms</t>
  </si>
  <si>
    <t>3s 256ms</t>
  </si>
  <si>
    <t>2.98x</t>
  </si>
  <si>
    <t>5s 705ms</t>
  </si>
  <si>
    <t>3s 484ms</t>
  </si>
  <si>
    <t>2s 607ms</t>
  </si>
  <si>
    <t>2.18x</t>
  </si>
  <si>
    <t>7s 503ms</t>
  </si>
  <si>
    <t>2s 549ms</t>
  </si>
  <si>
    <t>2s 106ms</t>
  </si>
  <si>
    <t>2.94x</t>
  </si>
  <si>
    <t>5s 412ms</t>
  </si>
  <si>
    <t>2s 695ms</t>
  </si>
  <si>
    <t>3s 394ms</t>
  </si>
  <si>
    <t>8m 48s 231ms</t>
  </si>
  <si>
    <t>2s 13ms</t>
  </si>
  <si>
    <t>1s 791ms</t>
  </si>
  <si>
    <t>262.46x</t>
  </si>
  <si>
    <t>294.94x</t>
  </si>
  <si>
    <t>9m 8s 397ms</t>
  </si>
  <si>
    <t>1s 822ms</t>
  </si>
  <si>
    <t>301.03x</t>
  </si>
  <si>
    <t>121.15x</t>
  </si>
  <si>
    <t>9m 1s 468ms</t>
  </si>
  <si>
    <t>1s 727ms</t>
  </si>
  <si>
    <t>4s 882ms</t>
  </si>
  <si>
    <t>313.45x</t>
  </si>
  <si>
    <t>110.90x</t>
  </si>
  <si>
    <t>9m 6s 819ms</t>
  </si>
  <si>
    <t>3s 127ms</t>
  </si>
  <si>
    <t>1s 768ms</t>
  </si>
  <si>
    <t>174.87x</t>
  </si>
  <si>
    <t>309.31x</t>
  </si>
  <si>
    <t>10m 44s 484ms</t>
  </si>
  <si>
    <t>2s 432ms</t>
  </si>
  <si>
    <t>1s 730ms</t>
  </si>
  <si>
    <t>265.00x</t>
  </si>
  <si>
    <t>372.51x</t>
  </si>
  <si>
    <t>10m 35s 164ms</t>
  </si>
  <si>
    <t>2s 378ms</t>
  </si>
  <si>
    <t>267.14x</t>
  </si>
  <si>
    <t>386.16x</t>
  </si>
  <si>
    <t>1m 36s 133ms</t>
  </si>
  <si>
    <t>1s 590ms</t>
  </si>
  <si>
    <t>1s 418ms</t>
  </si>
  <si>
    <t>60.46x</t>
  </si>
  <si>
    <t>67.78x</t>
  </si>
  <si>
    <t>1m 31s 43ms</t>
  </si>
  <si>
    <t>2s 223ms</t>
  </si>
  <si>
    <t>2s 280ms</t>
  </si>
  <si>
    <t>40.94x</t>
  </si>
  <si>
    <t>39.92x</t>
  </si>
  <si>
    <t>5s 267ms</t>
  </si>
  <si>
    <t>1s 547ms</t>
  </si>
  <si>
    <t>2s 134ms</t>
  </si>
  <si>
    <t>3.40x</t>
  </si>
  <si>
    <t>2.46x</t>
  </si>
  <si>
    <t>6s 300ms</t>
  </si>
  <si>
    <t>1s 373ms</t>
  </si>
  <si>
    <t>2s 36ms</t>
  </si>
  <si>
    <t>4.58x</t>
  </si>
  <si>
    <t>3.09x</t>
  </si>
  <si>
    <t>4s 428ms</t>
  </si>
  <si>
    <t>2s 500ms</t>
  </si>
  <si>
    <t>1s 319ms</t>
  </si>
  <si>
    <t>3s 625ms</t>
  </si>
  <si>
    <t>1s 469ms</t>
  </si>
  <si>
    <t>1s 341ms</t>
  </si>
  <si>
    <t>7s 766ms</t>
  </si>
  <si>
    <t>1s 774ms</t>
  </si>
  <si>
    <t>1s 102ms</t>
  </si>
  <si>
    <t>7.04x</t>
  </si>
  <si>
    <t>8s 317ms</t>
  </si>
  <si>
    <t>1s 105ms</t>
  </si>
  <si>
    <t>1s 5ms</t>
  </si>
  <si>
    <t>7.52x</t>
  </si>
  <si>
    <t>8.27x</t>
  </si>
  <si>
    <t>2s 745ms</t>
  </si>
  <si>
    <t>1s 172ms</t>
  </si>
  <si>
    <t>1s 120ms</t>
  </si>
  <si>
    <t>2.34x</t>
  </si>
  <si>
    <t>2s 677ms</t>
  </si>
  <si>
    <t>1s 618ms</t>
  </si>
  <si>
    <t>1s 711ms</t>
  </si>
  <si>
    <t>1.56x</t>
  </si>
  <si>
    <t>37s 418ms</t>
  </si>
  <si>
    <t>0s 894ms</t>
  </si>
  <si>
    <t>41.84x</t>
  </si>
  <si>
    <t>54.35x</t>
  </si>
  <si>
    <t>37s 238ms</t>
  </si>
  <si>
    <t>0s 713ms</t>
  </si>
  <si>
    <t>0s 692ms</t>
  </si>
  <si>
    <t>52.24x</t>
  </si>
  <si>
    <t>53.81x</t>
  </si>
  <si>
    <t>3m 32s 977ms</t>
  </si>
  <si>
    <t>0s 817ms</t>
  </si>
  <si>
    <t>0s 746ms</t>
  </si>
  <si>
    <t>260.57x</t>
  </si>
  <si>
    <t>285.46x</t>
  </si>
  <si>
    <t>3m 27s 488ms</t>
  </si>
  <si>
    <t>0s 715ms</t>
  </si>
  <si>
    <t>0s 748ms</t>
  </si>
  <si>
    <t>290.17x</t>
  </si>
  <si>
    <t>277.47x</t>
  </si>
  <si>
    <t>9s 22ms</t>
  </si>
  <si>
    <t>2s 356ms</t>
  </si>
  <si>
    <t>2s 887ms</t>
  </si>
  <si>
    <t>3.82x</t>
  </si>
  <si>
    <t>3.12x</t>
  </si>
  <si>
    <t>16s 987ms</t>
  </si>
  <si>
    <t>2s 512ms</t>
  </si>
  <si>
    <t>4s 611ms</t>
  </si>
  <si>
    <t>6.76x</t>
  </si>
  <si>
    <t>3.68x</t>
  </si>
  <si>
    <t>gpu_t1_time</t>
  </si>
  <si>
    <t>6s 673ms</t>
  </si>
  <si>
    <t>5s 256ms</t>
  </si>
  <si>
    <t>5s 207ms</t>
  </si>
  <si>
    <t>6s 84ms</t>
  </si>
  <si>
    <t>4s 262ms</t>
  </si>
  <si>
    <t>5s 607ms</t>
  </si>
  <si>
    <t>4s 230ms</t>
  </si>
  <si>
    <t>3s 885ms</t>
  </si>
  <si>
    <t>3s 864ms</t>
  </si>
  <si>
    <t>5s 127ms</t>
  </si>
  <si>
    <t>3s 922ms</t>
  </si>
  <si>
    <t>3s 889ms</t>
  </si>
  <si>
    <t>4s 747ms</t>
  </si>
  <si>
    <t>3s 601ms</t>
  </si>
  <si>
    <t>3s 266ms</t>
  </si>
  <si>
    <t>3s 306ms</t>
  </si>
  <si>
    <t>3s 262ms</t>
  </si>
  <si>
    <t>3s 144ms</t>
  </si>
  <si>
    <t>3s 161ms</t>
  </si>
  <si>
    <t>3s 195ms</t>
  </si>
  <si>
    <t>3s 233ms</t>
  </si>
  <si>
    <t>3s 177ms</t>
  </si>
  <si>
    <t>3s 305ms</t>
  </si>
  <si>
    <t>2s 908ms</t>
  </si>
  <si>
    <t>2s 890ms</t>
  </si>
  <si>
    <t>2s 788ms</t>
  </si>
  <si>
    <t>2s 698ms</t>
  </si>
  <si>
    <t>2s 743ms</t>
  </si>
  <si>
    <t>3s 634ms</t>
  </si>
  <si>
    <t>2s 464ms</t>
  </si>
  <si>
    <t>2s 495ms</t>
  </si>
  <si>
    <t>2s 479ms</t>
  </si>
  <si>
    <t>3s 153ms</t>
  </si>
  <si>
    <t>2s 391ms</t>
  </si>
  <si>
    <t>2s 320ms</t>
  </si>
  <si>
    <t>1s 931ms</t>
  </si>
  <si>
    <t>1s 983ms</t>
  </si>
  <si>
    <t>1s 992ms</t>
  </si>
  <si>
    <t>1s 763ms</t>
  </si>
  <si>
    <t>1s 701ms</t>
  </si>
  <si>
    <t>1s 831ms</t>
  </si>
  <si>
    <t>1s 812ms</t>
  </si>
  <si>
    <t>3s 174ms</t>
  </si>
  <si>
    <t>4s 697ms</t>
  </si>
  <si>
    <t>gpu_t2_time</t>
  </si>
  <si>
    <t>7s 340ms</t>
  </si>
  <si>
    <t>5s 738ms</t>
  </si>
  <si>
    <t>5s 708ms</t>
  </si>
  <si>
    <t>6s 594ms</t>
  </si>
  <si>
    <t>4s 772ms</t>
  </si>
  <si>
    <t>6s 232ms</t>
  </si>
  <si>
    <t>5s 238ms</t>
  </si>
  <si>
    <t>4s 422ms</t>
  </si>
  <si>
    <t>6s 130ms</t>
  </si>
  <si>
    <t>4s 184ms</t>
  </si>
  <si>
    <t>4s 183ms</t>
  </si>
  <si>
    <t>5s 510ms</t>
  </si>
  <si>
    <t>4s 192ms</t>
  </si>
  <si>
    <t>3s 671ms</t>
  </si>
  <si>
    <t>3s 675ms</t>
  </si>
  <si>
    <t>3s 612ms</t>
  </si>
  <si>
    <t>3s 505ms</t>
  </si>
  <si>
    <t>3s 865ms</t>
  </si>
  <si>
    <t>3s 862ms</t>
  </si>
  <si>
    <t>4s 798ms</t>
  </si>
  <si>
    <t>4s 898ms</t>
  </si>
  <si>
    <t>4s 868ms</t>
  </si>
  <si>
    <t>4s 939ms</t>
  </si>
  <si>
    <t>4s 407ms</t>
  </si>
  <si>
    <t>3s 164ms</t>
  </si>
  <si>
    <t>2s 892ms</t>
  </si>
  <si>
    <t>2s 840ms</t>
  </si>
  <si>
    <t>2s 851ms</t>
  </si>
  <si>
    <t>3s 56ms</t>
  </si>
  <si>
    <t>3s 996ms</t>
  </si>
  <si>
    <t>2s 790ms</t>
  </si>
  <si>
    <t>2s 710ms</t>
  </si>
  <si>
    <t>3s 104ms</t>
  </si>
  <si>
    <t>2s 455ms</t>
  </si>
  <si>
    <t>1s 856ms</t>
  </si>
  <si>
    <t>1s 858ms</t>
  </si>
  <si>
    <t>2s 34ms</t>
  </si>
  <si>
    <t>2s 334ms</t>
  </si>
  <si>
    <t>1s 680ms</t>
  </si>
  <si>
    <t>1s 726ms</t>
  </si>
  <si>
    <t>1s 778ms</t>
  </si>
  <si>
    <t>1s 789ms</t>
  </si>
  <si>
    <t>3s 813ms</t>
  </si>
  <si>
    <t>3s 828ms</t>
  </si>
  <si>
    <t>speedup_gpu_t2_vs_t1</t>
  </si>
  <si>
    <t>1.13x</t>
  </si>
  <si>
    <t>.88x</t>
  </si>
  <si>
    <t>1.16x</t>
  </si>
  <si>
    <t>.77x</t>
  </si>
  <si>
    <t>.83x</t>
  </si>
  <si>
    <t>5s 162ms</t>
  </si>
  <si>
    <t>6s 27ms</t>
  </si>
  <si>
    <t>7s 754ms</t>
  </si>
  <si>
    <t>5s 618ms</t>
  </si>
  <si>
    <t>4s 335ms</t>
  </si>
  <si>
    <t>5s 857ms</t>
  </si>
  <si>
    <t>4s 186ms</t>
  </si>
  <si>
    <t>4s 379ms</t>
  </si>
  <si>
    <t>5s 258ms</t>
  </si>
  <si>
    <t>4s 232ms</t>
  </si>
  <si>
    <t>3s 870ms</t>
  </si>
  <si>
    <t>3s 881ms</t>
  </si>
  <si>
    <t>3s 769ms</t>
  </si>
  <si>
    <t>3s 703ms</t>
  </si>
  <si>
    <t>3s 835ms</t>
  </si>
  <si>
    <t>3s 552ms</t>
  </si>
  <si>
    <t>4s 458ms</t>
  </si>
  <si>
    <t>3s 814ms</t>
  </si>
  <si>
    <t>3s 255ms</t>
  </si>
  <si>
    <t>3s 160ms</t>
  </si>
  <si>
    <t>3s 159ms</t>
  </si>
  <si>
    <t>3s 232ms</t>
  </si>
  <si>
    <t>2s 825ms</t>
  </si>
  <si>
    <t>2s 950ms</t>
  </si>
  <si>
    <t>3s 714ms</t>
  </si>
  <si>
    <t>2s 690ms</t>
  </si>
  <si>
    <t>2s 824ms</t>
  </si>
  <si>
    <t>2s 845ms</t>
  </si>
  <si>
    <t>2s 487ms</t>
  </si>
  <si>
    <t>2s 468ms</t>
  </si>
  <si>
    <t>3s 202ms</t>
  </si>
  <si>
    <t>2s 64ms</t>
  </si>
  <si>
    <t>1s 936ms</t>
  </si>
  <si>
    <t>2s 162ms</t>
  </si>
  <si>
    <t>2s 46ms</t>
  </si>
  <si>
    <t>1s 829ms</t>
  </si>
  <si>
    <t>2s 136ms</t>
  </si>
  <si>
    <t>1s 850ms</t>
  </si>
  <si>
    <t>2s 423ms</t>
  </si>
  <si>
    <t>3s 248ms</t>
  </si>
  <si>
    <t>4s 159ms</t>
  </si>
  <si>
    <t>6s 170ms</t>
  </si>
  <si>
    <t>5s 923ms</t>
  </si>
  <si>
    <t>7s 535ms</t>
  </si>
  <si>
    <t>5s 517ms</t>
  </si>
  <si>
    <t>6s 372ms</t>
  </si>
  <si>
    <t>5s 109ms</t>
  </si>
  <si>
    <t>6s 119ms</t>
  </si>
  <si>
    <t>4s 255ms</t>
  </si>
  <si>
    <t>4s 357ms</t>
  </si>
  <si>
    <t>4s 290ms</t>
  </si>
  <si>
    <t>5s 432ms</t>
  </si>
  <si>
    <t>5s 609ms</t>
  </si>
  <si>
    <t>4s 950ms</t>
  </si>
  <si>
    <t>8s 189ms</t>
  </si>
  <si>
    <t>3s 603ms</t>
  </si>
  <si>
    <t>4s 415ms</t>
  </si>
  <si>
    <t>5s 24ms</t>
  </si>
  <si>
    <t>4s 628ms</t>
  </si>
  <si>
    <t>3s 773ms</t>
  </si>
  <si>
    <t>3s 499ms</t>
  </si>
  <si>
    <t>3s 492ms</t>
  </si>
  <si>
    <t>3s 78ms</t>
  </si>
  <si>
    <t>3s 23ms</t>
  </si>
  <si>
    <t>3s 186ms</t>
  </si>
  <si>
    <t>3s 966ms</t>
  </si>
  <si>
    <t>2s 940ms</t>
  </si>
  <si>
    <t>2s 907ms</t>
  </si>
  <si>
    <t>3s 667ms</t>
  </si>
  <si>
    <t>2s 801ms</t>
  </si>
  <si>
    <t>2s 550ms</t>
  </si>
  <si>
    <t>3s 622ms</t>
  </si>
  <si>
    <t>2s 446ms</t>
  </si>
  <si>
    <t>2s 474ms</t>
  </si>
  <si>
    <t>2s 37ms</t>
  </si>
  <si>
    <t>1s 849ms</t>
  </si>
  <si>
    <t>2s 165ms</t>
  </si>
  <si>
    <t>1s 998ms</t>
  </si>
  <si>
    <t>1s 708ms</t>
  </si>
  <si>
    <t>1s 637ms</t>
  </si>
  <si>
    <t>1s 769ms</t>
  </si>
  <si>
    <t>2s 490ms</t>
  </si>
  <si>
    <t>3s 750ms</t>
  </si>
  <si>
    <t>3s 926ms</t>
  </si>
  <si>
    <t>1.23x</t>
  </si>
  <si>
    <t>.86x</t>
  </si>
  <si>
    <t>1.30x</t>
  </si>
  <si>
    <t>5s 262ms</t>
  </si>
  <si>
    <t>6s 455ms</t>
  </si>
  <si>
    <t>4s 778ms</t>
  </si>
  <si>
    <t>6s 74ms</t>
  </si>
  <si>
    <t>4s 432ms</t>
  </si>
  <si>
    <t>4s 301ms</t>
  </si>
  <si>
    <t>5s 761ms</t>
  </si>
  <si>
    <t>5s 58ms</t>
  </si>
  <si>
    <t>3s 897ms</t>
  </si>
  <si>
    <t>5s 286ms</t>
  </si>
  <si>
    <t>3s 993ms</t>
  </si>
  <si>
    <t>4s 65ms</t>
  </si>
  <si>
    <t>4s 4ms</t>
  </si>
  <si>
    <t>4s 409ms</t>
  </si>
  <si>
    <t>4s 824ms</t>
  </si>
  <si>
    <t>4s 465ms</t>
  </si>
  <si>
    <t>4s 590ms</t>
  </si>
  <si>
    <t>3s 815ms</t>
  </si>
  <si>
    <t>3s 389ms</t>
  </si>
  <si>
    <t>3s 362ms</t>
  </si>
  <si>
    <t>3s 309ms</t>
  </si>
  <si>
    <t>3s 66ms</t>
  </si>
  <si>
    <t>2s 942ms</t>
  </si>
  <si>
    <t>3s 50ms</t>
  </si>
  <si>
    <t>2s 951ms</t>
  </si>
  <si>
    <t>3s 537ms</t>
  </si>
  <si>
    <t>2s 794ms</t>
  </si>
  <si>
    <t>2s 837ms</t>
  </si>
  <si>
    <t>3s 361ms</t>
  </si>
  <si>
    <t>2s 585ms</t>
  </si>
  <si>
    <t>2s 417ms</t>
  </si>
  <si>
    <t>3s 139ms</t>
  </si>
  <si>
    <t>2s 312ms</t>
  </si>
  <si>
    <t>2s 323ms</t>
  </si>
  <si>
    <t>2s 600ms</t>
  </si>
  <si>
    <t>1s 910ms</t>
  </si>
  <si>
    <t>2s 601ms</t>
  </si>
  <si>
    <t>2s 98ms</t>
  </si>
  <si>
    <t>1s 756ms</t>
  </si>
  <si>
    <t>1s 886ms</t>
  </si>
  <si>
    <t>2s 150ms</t>
  </si>
  <si>
    <t>3s 278ms</t>
  </si>
  <si>
    <t>6s 583ms</t>
  </si>
  <si>
    <t>6s 41ms</t>
  </si>
  <si>
    <t>6s 379ms</t>
  </si>
  <si>
    <t>5s 653ms</t>
  </si>
  <si>
    <t>4s 971ms</t>
  </si>
  <si>
    <t>6s 815ms</t>
  </si>
  <si>
    <t>5s 560ms</t>
  </si>
  <si>
    <t>4s 993ms</t>
  </si>
  <si>
    <t>7s 892ms</t>
  </si>
  <si>
    <t>4s 539ms</t>
  </si>
  <si>
    <t>4s 378ms</t>
  </si>
  <si>
    <t>6s 350ms</t>
  </si>
  <si>
    <t>5s 707ms</t>
  </si>
  <si>
    <t>4s 753ms</t>
  </si>
  <si>
    <t>3s 859ms</t>
  </si>
  <si>
    <t>3s 971ms</t>
  </si>
  <si>
    <t>3s 978ms</t>
  </si>
  <si>
    <t>4s 452ms</t>
  </si>
  <si>
    <t>5s 113ms</t>
  </si>
  <si>
    <t>3s 488ms</t>
  </si>
  <si>
    <t>5s 822ms</t>
  </si>
  <si>
    <t>3s 260ms</t>
  </si>
  <si>
    <t>2s 803ms</t>
  </si>
  <si>
    <t>3s 649ms</t>
  </si>
  <si>
    <t>3s 229ms</t>
  </si>
  <si>
    <t>2s 820ms</t>
  </si>
  <si>
    <t>3s 925ms</t>
  </si>
  <si>
    <t>2s 593ms</t>
  </si>
  <si>
    <t>2s 476ms</t>
  </si>
  <si>
    <t>2s 718ms</t>
  </si>
  <si>
    <t>2s 426ms</t>
  </si>
  <si>
    <t>2s 754ms</t>
  </si>
  <si>
    <t>1s 941ms</t>
  </si>
  <si>
    <t>2s 909ms</t>
  </si>
  <si>
    <t>2s 42ms</t>
  </si>
  <si>
    <t>2s 431ms</t>
  </si>
  <si>
    <t>1s 672ms</t>
  </si>
  <si>
    <t>1s 877ms</t>
  </si>
  <si>
    <t>1s 771ms</t>
  </si>
  <si>
    <t>4s 55ms</t>
  </si>
  <si>
    <t>3s 824ms</t>
  </si>
  <si>
    <t>1.15x</t>
  </si>
  <si>
    <t>.58x</t>
  </si>
  <si>
    <t>7s 824ms</t>
  </si>
  <si>
    <t>5s 913ms</t>
  </si>
  <si>
    <t>6s 296ms</t>
  </si>
  <si>
    <t>6s 831ms</t>
  </si>
  <si>
    <t>5s 554ms</t>
  </si>
  <si>
    <t>5s 365ms</t>
  </si>
  <si>
    <t>5s 411ms</t>
  </si>
  <si>
    <t>5s 211ms</t>
  </si>
  <si>
    <t>4s 129ms</t>
  </si>
  <si>
    <t>4s 32ms</t>
  </si>
  <si>
    <t>4s 140ms</t>
  </si>
  <si>
    <t>4s 12ms</t>
  </si>
  <si>
    <t>3s 898ms</t>
  </si>
  <si>
    <t>4s 49ms</t>
  </si>
  <si>
    <t>4s 223ms</t>
  </si>
  <si>
    <t>3s 700ms</t>
  </si>
  <si>
    <t>3s 314ms</t>
  </si>
  <si>
    <t>3s 331ms</t>
  </si>
  <si>
    <t>3s 271ms</t>
  </si>
  <si>
    <t>3s 274ms</t>
  </si>
  <si>
    <t>3s 432ms</t>
  </si>
  <si>
    <t>3s 58ms</t>
  </si>
  <si>
    <t>2s 985ms</t>
  </si>
  <si>
    <t>3s 834ms</t>
  </si>
  <si>
    <t>3s 75ms</t>
  </si>
  <si>
    <t>2s 776ms</t>
  </si>
  <si>
    <t>2s 805ms</t>
  </si>
  <si>
    <t>3s 273ms</t>
  </si>
  <si>
    <t>2s 530ms</t>
  </si>
  <si>
    <t>2s 441ms</t>
  </si>
  <si>
    <t>2s 991ms</t>
  </si>
  <si>
    <t>2s 425ms</t>
  </si>
  <si>
    <t>2s 436ms</t>
  </si>
  <si>
    <t>1s 987ms</t>
  </si>
  <si>
    <t>2s 17ms</t>
  </si>
  <si>
    <t>2s 126ms</t>
  </si>
  <si>
    <t>2s 53ms</t>
  </si>
  <si>
    <t>1s 819ms</t>
  </si>
  <si>
    <t>1s 823ms</t>
  </si>
  <si>
    <t>1s 755ms</t>
  </si>
  <si>
    <t>2s 387ms</t>
  </si>
  <si>
    <t>7s 876ms</t>
  </si>
  <si>
    <t>6s 251ms</t>
  </si>
  <si>
    <t>6s 543ms</t>
  </si>
  <si>
    <t>5s 826ms</t>
  </si>
  <si>
    <t>6s 780ms</t>
  </si>
  <si>
    <t>51s 245ms</t>
  </si>
  <si>
    <t>5s 861ms</t>
  </si>
  <si>
    <t>10s 903ms</t>
  </si>
  <si>
    <t>4s 343ms</t>
  </si>
  <si>
    <t>4s 355ms</t>
  </si>
  <si>
    <t>4s 505ms</t>
  </si>
  <si>
    <t>6s 58ms</t>
  </si>
  <si>
    <t>5s 312ms</t>
  </si>
  <si>
    <t>5s 406ms</t>
  </si>
  <si>
    <t>4s 817ms</t>
  </si>
  <si>
    <t>4s 602ms</t>
  </si>
  <si>
    <t>4s 487ms</t>
  </si>
  <si>
    <t>5s 45ms</t>
  </si>
  <si>
    <t>3s 592ms</t>
  </si>
  <si>
    <t>4s 260ms</t>
  </si>
  <si>
    <t>3s 526ms</t>
  </si>
  <si>
    <t>3s 392ms</t>
  </si>
  <si>
    <t>3s 382ms</t>
  </si>
  <si>
    <t>3s 37ms</t>
  </si>
  <si>
    <t>2s 982ms</t>
  </si>
  <si>
    <t>2s 886ms</t>
  </si>
  <si>
    <t>4s 168ms</t>
  </si>
  <si>
    <t>2s 799ms</t>
  </si>
  <si>
    <t>2s 868ms</t>
  </si>
  <si>
    <t>3s 501ms</t>
  </si>
  <si>
    <t>2s 875ms</t>
  </si>
  <si>
    <t>2s 543ms</t>
  </si>
  <si>
    <t>3s 226ms</t>
  </si>
  <si>
    <t>2s 482ms</t>
  </si>
  <si>
    <t>2s 405ms</t>
  </si>
  <si>
    <t>2s 914ms</t>
  </si>
  <si>
    <t>2s 94ms</t>
  </si>
  <si>
    <t>1s 675ms</t>
  </si>
  <si>
    <t>1s 785ms</t>
  </si>
  <si>
    <t>3s 797ms</t>
  </si>
  <si>
    <t>.10x</t>
  </si>
  <si>
    <t>1.19x</t>
  </si>
  <si>
    <t>.84x</t>
  </si>
  <si>
    <t>1.32x</t>
  </si>
  <si>
    <t>speedup_gpu_t1_vs_vcflib</t>
  </si>
  <si>
    <t>speedup_gpu_t2_vs_cpu_t2</t>
  </si>
  <si>
    <t>speedup_gpu_t1_vs_cpu_t2</t>
  </si>
  <si>
    <t>speedup_gpu_t1_vs_cpu_t1</t>
  </si>
  <si>
    <t>speedup_gpu_t2_vs_cpu_t1</t>
  </si>
  <si>
    <t>speedup_gpu_t2_vs_vcflib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</si>
</sst>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x&quot;"/>
    <numFmt numFmtId="165" formatCode="0.00\x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542B-964A-4A25-89A3-A4A709DC80C1}">
  <sheetPr codeName="Sheet1"/>
  <dimension ref="A1:U47"/>
  <sheetViews>
    <sheetView topLeftCell="M1" workbookViewId="0">
      <selection activeCell="J10" sqref="J10"/>
    </sheetView>
  </sheetViews>
  <sheetFormatPr defaultRowHeight="15" x14ac:dyDescent="0.25"/>
  <cols>
    <col min="2" max="2" width="18.85546875" customWidth="1"/>
    <col min="3" max="4" width="20.140625" customWidth="1"/>
    <col min="5" max="5" width="14.28515625" customWidth="1"/>
    <col min="6" max="6" width="17.7109375" customWidth="1"/>
    <col min="7" max="7" width="23.140625" customWidth="1"/>
    <col min="8" max="8" width="22.42578125" customWidth="1"/>
    <col min="9" max="9" width="17.28515625" customWidth="1"/>
    <col min="10" max="10" width="37.85546875" customWidth="1"/>
    <col min="11" max="11" width="27.28515625" customWidth="1"/>
    <col min="12" max="12" width="26.85546875" customWidth="1"/>
    <col min="13" max="13" width="30.42578125" customWidth="1"/>
    <col min="14" max="14" width="32.42578125" customWidth="1"/>
    <col min="15" max="20" width="30.42578125" customWidth="1"/>
  </cols>
  <sheetData>
    <row r="1" spans="1:21" x14ac:dyDescent="0.25">
      <c r="A1" t="s">
        <v>293</v>
      </c>
      <c r="B1" t="s">
        <v>0</v>
      </c>
      <c r="C1" t="s">
        <v>1</v>
      </c>
      <c r="D1" t="s">
        <v>295</v>
      </c>
      <c r="E1" t="s">
        <v>2</v>
      </c>
      <c r="F1" t="s">
        <v>3</v>
      </c>
      <c r="G1" t="s">
        <v>4</v>
      </c>
      <c r="H1" t="s">
        <v>5</v>
      </c>
      <c r="I1" t="s">
        <v>964</v>
      </c>
      <c r="J1" t="s">
        <v>1009</v>
      </c>
      <c r="K1" t="s">
        <v>6</v>
      </c>
      <c r="L1" t="s">
        <v>7</v>
      </c>
      <c r="M1" t="s">
        <v>8</v>
      </c>
      <c r="N1" t="s">
        <v>1054</v>
      </c>
      <c r="O1" t="s">
        <v>1322</v>
      </c>
      <c r="P1" t="s">
        <v>1317</v>
      </c>
      <c r="Q1" t="s">
        <v>1318</v>
      </c>
      <c r="R1" t="s">
        <v>1320</v>
      </c>
      <c r="S1" t="s">
        <v>1319</v>
      </c>
      <c r="T1" t="s">
        <v>1321</v>
      </c>
      <c r="U1" t="s">
        <v>9</v>
      </c>
    </row>
    <row r="2" spans="1:21" x14ac:dyDescent="0.25">
      <c r="A2" t="s">
        <v>294</v>
      </c>
      <c r="B2" t="s">
        <v>10</v>
      </c>
      <c r="C2" t="s">
        <v>11</v>
      </c>
      <c r="D2" s="1">
        <v>319247</v>
      </c>
      <c r="E2">
        <v>2</v>
      </c>
      <c r="F2" t="s">
        <v>12</v>
      </c>
      <c r="G2" t="s">
        <v>13</v>
      </c>
      <c r="H2" t="s">
        <v>14</v>
      </c>
      <c r="I2" t="s">
        <v>965</v>
      </c>
      <c r="J2" t="s">
        <v>316</v>
      </c>
      <c r="K2" t="s">
        <v>15</v>
      </c>
      <c r="L2" t="s">
        <v>16</v>
      </c>
      <c r="M2" t="s">
        <v>17</v>
      </c>
      <c r="N2" t="s">
        <v>204</v>
      </c>
      <c r="O2" s="4">
        <f>AVERAGE(ParseTime(RunTime1!F2),ParseTime(RunTime2!F2),ParseTime(RunTime3!F2),ParseTime(RunTime4!F2))
/
AVERAGE(ParseTime(RunTime1!J2),ParseTime(RunTime2!J2),ParseTime(RunTime3!J2),ParseTime(RunTime4!J2))</f>
        <v>140.80047407630371</v>
      </c>
      <c r="P2" s="4">
        <f>AVERAGE(ParseTime(RunTime1!F2),ParseTime(RunTime2!F2),ParseTime(RunTime3!F2),ParseTime(RunTime4!F2))
/
AVERAGE(ParseTime(RunTime1!I2),ParseTime(RunTime2!I2),ParseTime(RunTime3!I2),ParseTime(RunTime4!I2))</f>
        <v>150.16231290879176</v>
      </c>
      <c r="Q2" s="4">
        <f>AVERAGE(ParseTime(RunTime1!H2),ParseTime(RunTime2!H2),ParseTime(RunTime3!H2),ParseTime(RunTime4!H2))
/
AVERAGE(ParseTime(RunTime1!J2),ParseTime(RunTime2!J2),ParseTime(RunTime3!J2),ParseTime(RunTime4!J2))</f>
        <v>1.0387538565731056</v>
      </c>
      <c r="R2" s="4">
        <f>AVERAGE(ParseTime(RunTime1!G2),ParseTime(RunTime2!G2),ParseTime(RunTime3!G2),ParseTime(RunTime4!G2))
/
AVERAGE(ParseTime(RunTime1!I2),ParseTime(RunTime2!I2),ParseTime(RunTime3!I2),ParseTime(RunTime4!I2))</f>
        <v>1.0428152963364232</v>
      </c>
      <c r="S2" s="4">
        <f>AVERAGE(ParseTime(RunTime1!H2),ParseTime(RunTime2!H2),ParseTime(RunTime3!H2),ParseTime(RunTime4!H2))
/
AVERAGE(ParseTime(RunTime1!I2),ParseTime(RunTime2!I2),ParseTime(RunTime3!I2),ParseTime(RunTime4!I2))</f>
        <v>1.1078207134545162</v>
      </c>
      <c r="T2" s="4">
        <f>AVERAGE(ParseTime(RunTime1!G2),ParseTime(RunTime2!G2),ParseTime(RunTime3!G2),ParseTime(RunTime4!G2))
/
AVERAGE(ParseTime(RunTime1!J2),ParseTime(RunTime2!J2),ParseTime(RunTime3!J2),ParseTime(RunTime4!J2))</f>
        <v>0.97780118895326973</v>
      </c>
      <c r="U2" t="s">
        <v>18</v>
      </c>
    </row>
    <row r="3" spans="1:21" x14ac:dyDescent="0.25">
      <c r="A3" t="s">
        <v>294</v>
      </c>
      <c r="B3" t="s">
        <v>10</v>
      </c>
      <c r="C3" t="s">
        <v>19</v>
      </c>
      <c r="D3" s="1">
        <v>316061</v>
      </c>
      <c r="E3">
        <v>2</v>
      </c>
      <c r="F3" t="s">
        <v>20</v>
      </c>
      <c r="G3" t="s">
        <v>21</v>
      </c>
      <c r="H3" t="s">
        <v>22</v>
      </c>
      <c r="I3" t="s">
        <v>966</v>
      </c>
      <c r="J3" t="s">
        <v>1010</v>
      </c>
      <c r="K3" t="s">
        <v>23</v>
      </c>
      <c r="L3" t="s">
        <v>24</v>
      </c>
      <c r="M3" t="s">
        <v>25</v>
      </c>
      <c r="N3" t="s">
        <v>359</v>
      </c>
      <c r="O3" s="4">
        <f>AVERAGE(ParseTime(RunTime1!F3),ParseTime(RunTime2!F3),ParseTime(RunTime3!F3),ParseTime(RunTime4!F3))
/
AVERAGE(ParseTime(RunTime1!J3),ParseTime(RunTime2!J3),ParseTime(RunTime3!J3),ParseTime(RunTime4!J3))</f>
        <v>121.73840735668163</v>
      </c>
      <c r="P3" s="4">
        <f>AVERAGE(ParseTime(RunTime1!F3),ParseTime(RunTime2!F3),ParseTime(RunTime3!F3),ParseTime(RunTime4!F3))
/
AVERAGE(ParseTime(RunTime1!I3),ParseTime(RunTime2!I3),ParseTime(RunTime3!I3),ParseTime(RunTime4!I3))</f>
        <v>131.53883556720643</v>
      </c>
      <c r="Q3" s="4">
        <f>AVERAGE(ParseTime(RunTime1!H3),ParseTime(RunTime2!H3),ParseTime(RunTime3!H3),ParseTime(RunTime4!H3))
/
AVERAGE(ParseTime(RunTime1!J3),ParseTime(RunTime2!J3),ParseTime(RunTime3!J3),ParseTime(RunTime4!J3))</f>
        <v>0.9483858344746624</v>
      </c>
      <c r="R3" s="4">
        <f>AVERAGE(ParseTime(RunTime1!G3),ParseTime(RunTime2!G3),ParseTime(RunTime3!G3),ParseTime(RunTime4!G3))
/
AVERAGE(ParseTime(RunTime1!I3),ParseTime(RunTime2!I3),ParseTime(RunTime3!I3),ParseTime(RunTime4!I3))</f>
        <v>1.1331021944103845</v>
      </c>
      <c r="S3" s="4">
        <f>AVERAGE(ParseTime(RunTime1!H3),ParseTime(RunTime2!H3),ParseTime(RunTime3!H3),ParseTime(RunTime4!H3))
/
AVERAGE(ParseTime(RunTime1!I3),ParseTime(RunTime2!I3),ParseTime(RunTime3!I3),ParseTime(RunTime4!I3))</f>
        <v>1.0247346835228954</v>
      </c>
      <c r="T3" s="4">
        <f>AVERAGE(ParseTime(RunTime1!G3),ParseTime(RunTime2!G3),ParseTime(RunTime3!G3),ParseTime(RunTime4!G3))
/
AVERAGE(ParseTime(RunTime1!J3),ParseTime(RunTime2!J3),ParseTime(RunTime3!J3),ParseTime(RunTime4!J3))</f>
        <v>1.0486793191156329</v>
      </c>
      <c r="U3" t="s">
        <v>18</v>
      </c>
    </row>
    <row r="4" spans="1:21" x14ac:dyDescent="0.25">
      <c r="A4" t="s">
        <v>294</v>
      </c>
      <c r="B4" t="s">
        <v>26</v>
      </c>
      <c r="C4" t="s">
        <v>11</v>
      </c>
      <c r="D4" s="1">
        <v>328730</v>
      </c>
      <c r="E4">
        <v>2</v>
      </c>
      <c r="F4" t="s">
        <v>27</v>
      </c>
      <c r="G4" t="s">
        <v>28</v>
      </c>
      <c r="H4" t="s">
        <v>29</v>
      </c>
      <c r="I4" t="s">
        <v>967</v>
      </c>
      <c r="J4" t="s">
        <v>1011</v>
      </c>
      <c r="K4" t="s">
        <v>30</v>
      </c>
      <c r="L4" t="s">
        <v>31</v>
      </c>
      <c r="M4" t="s">
        <v>32</v>
      </c>
      <c r="N4" t="s">
        <v>178</v>
      </c>
      <c r="O4" s="4">
        <f>AVERAGE(ParseTime(RunTime1!F4),ParseTime(RunTime2!F4),ParseTime(RunTime3!F4),ParseTime(RunTime4!F4))
/
AVERAGE(ParseTime(RunTime1!J4),ParseTime(RunTime2!J4),ParseTime(RunTime3!J4),ParseTime(RunTime4!J4))</f>
        <v>2.2017178850925747</v>
      </c>
      <c r="P4" s="4">
        <f>AVERAGE(ParseTime(RunTime1!F4),ParseTime(RunTime2!F4),ParseTime(RunTime3!F4),ParseTime(RunTime4!F4))
/
AVERAGE(ParseTime(RunTime1!I4),ParseTime(RunTime2!I4),ParseTime(RunTime3!I4),ParseTime(RunTime4!I4))</f>
        <v>2.4598652222127444</v>
      </c>
      <c r="Q4" s="4">
        <f>AVERAGE(ParseTime(RunTime1!H4),ParseTime(RunTime2!H4),ParseTime(RunTime3!H4),ParseTime(RunTime4!H4))
/
AVERAGE(ParseTime(RunTime1!J4),ParseTime(RunTime2!J4),ParseTime(RunTime3!J4),ParseTime(RunTime4!J4))</f>
        <v>0.75697652223706813</v>
      </c>
      <c r="R4" s="4">
        <f>AVERAGE(ParseTime(RunTime1!G4),ParseTime(RunTime2!G4),ParseTime(RunTime3!G4),ParseTime(RunTime4!G4))
/
AVERAGE(ParseTime(RunTime1!I4),ParseTime(RunTime2!I4),ParseTime(RunTime3!I4),ParseTime(RunTime4!I4))</f>
        <v>1.1201057749722769</v>
      </c>
      <c r="S4" s="4">
        <f>AVERAGE(ParseTime(RunTime1!H4),ParseTime(RunTime2!H4),ParseTime(RunTime3!H4),ParseTime(RunTime4!H4))
/
AVERAGE(ParseTime(RunTime1!I4),ParseTime(RunTime2!I4),ParseTime(RunTime3!I4),ParseTime(RunTime4!I4))</f>
        <v>0.84573061503028246</v>
      </c>
      <c r="T4" s="4">
        <f>AVERAGE(ParseTime(RunTime1!G4),ParseTime(RunTime2!G4),ParseTime(RunTime3!G4),ParseTime(RunTime4!G4))
/
AVERAGE(ParseTime(RunTime1!J4),ParseTime(RunTime2!J4),ParseTime(RunTime3!J4),ParseTime(RunTime4!J4))</f>
        <v>1.0025577400267227</v>
      </c>
      <c r="U4" t="s">
        <v>18</v>
      </c>
    </row>
    <row r="5" spans="1:21" x14ac:dyDescent="0.25">
      <c r="A5" t="s">
        <v>294</v>
      </c>
      <c r="B5" t="s">
        <v>26</v>
      </c>
      <c r="C5" t="s">
        <v>19</v>
      </c>
      <c r="D5" s="1">
        <v>335402</v>
      </c>
      <c r="E5">
        <v>2</v>
      </c>
      <c r="F5" t="s">
        <v>33</v>
      </c>
      <c r="G5" t="s">
        <v>34</v>
      </c>
      <c r="H5" t="s">
        <v>35</v>
      </c>
      <c r="I5" t="s">
        <v>968</v>
      </c>
      <c r="J5" t="s">
        <v>1012</v>
      </c>
      <c r="K5" t="s">
        <v>36</v>
      </c>
      <c r="L5" t="s">
        <v>33</v>
      </c>
      <c r="M5" t="s">
        <v>33</v>
      </c>
      <c r="N5" t="s">
        <v>143</v>
      </c>
      <c r="O5" s="4" t="s">
        <v>33</v>
      </c>
      <c r="P5" s="4" t="s">
        <v>33</v>
      </c>
      <c r="Q5" s="4">
        <f>AVERAGE(ParseTime(RunTime1!H5),ParseTime(RunTime2!H5),ParseTime(RunTime3!H5),ParseTime(RunTime4!H5))
/
AVERAGE(ParseTime(RunTime1!J5),ParseTime(RunTime2!J5),ParseTime(RunTime3!J5),ParseTime(RunTime4!J5))</f>
        <v>1.1001145172656799</v>
      </c>
      <c r="R5" s="4">
        <f>AVERAGE(ParseTime(RunTime1!G5),ParseTime(RunTime2!G5),ParseTime(RunTime3!G5),ParseTime(RunTime4!G5))
/
AVERAGE(ParseTime(RunTime1!I5),ParseTime(RunTime2!I5),ParseTime(RunTime3!I5),ParseTime(RunTime4!I5))</f>
        <v>0.79399302093718849</v>
      </c>
      <c r="S5" s="4">
        <f>AVERAGE(ParseTime(RunTime1!H5),ParseTime(RunTime2!H5),ParseTime(RunTime3!H5),ParseTime(RunTime4!H5))
/
AVERAGE(ParseTime(RunTime1!I5),ParseTime(RunTime2!I5),ParseTime(RunTime3!I5),ParseTime(RunTime4!I5))</f>
        <v>1.0375955466932534</v>
      </c>
      <c r="T5" s="4">
        <f>AVERAGE(ParseTime(RunTime1!G5),ParseTime(RunTime2!G5),ParseTime(RunTime3!G5),ParseTime(RunTime4!G5))
/
AVERAGE(ParseTime(RunTime1!J5),ParseTime(RunTime2!J5),ParseTime(RunTime3!J5),ParseTime(RunTime4!J5))</f>
        <v>0.84183403805496826</v>
      </c>
      <c r="U5" t="s">
        <v>297</v>
      </c>
    </row>
    <row r="6" spans="1:21" x14ac:dyDescent="0.25">
      <c r="A6" t="s">
        <v>294</v>
      </c>
      <c r="B6" t="s">
        <v>37</v>
      </c>
      <c r="C6" t="s">
        <v>11</v>
      </c>
      <c r="D6" s="1">
        <v>284815</v>
      </c>
      <c r="E6">
        <v>2</v>
      </c>
      <c r="F6" t="s">
        <v>38</v>
      </c>
      <c r="G6" t="s">
        <v>39</v>
      </c>
      <c r="H6" t="s">
        <v>40</v>
      </c>
      <c r="I6" t="s">
        <v>969</v>
      </c>
      <c r="J6" t="s">
        <v>1013</v>
      </c>
      <c r="K6" t="s">
        <v>41</v>
      </c>
      <c r="L6" t="s">
        <v>42</v>
      </c>
      <c r="M6" t="s">
        <v>43</v>
      </c>
      <c r="N6" t="s">
        <v>317</v>
      </c>
      <c r="O6" s="4">
        <f>AVERAGE(ParseTime(RunTime1!F6),ParseTime(RunTime2!F6),ParseTime(RunTime3!F6),ParseTime(RunTime4!F6))
/
AVERAGE(ParseTime(RunTime1!J6),ParseTime(RunTime2!J6),ParseTime(RunTime3!J6),ParseTime(RunTime4!J6))</f>
        <v>1.4791843670348341</v>
      </c>
      <c r="P6" s="4">
        <f>AVERAGE(ParseTime(RunTime1!F6),ParseTime(RunTime2!F6),ParseTime(RunTime3!F6),ParseTime(RunTime4!F6))
/
AVERAGE(ParseTime(RunTime1!I6),ParseTime(RunTime2!I6),ParseTime(RunTime3!I6),ParseTime(RunTime4!I6))</f>
        <v>1.8409365558912387</v>
      </c>
      <c r="Q6" s="4">
        <f>AVERAGE(ParseTime(RunTime1!H6),ParseTime(RunTime2!H6),ParseTime(RunTime3!H6),ParseTime(RunTime4!H6))
/
AVERAGE(ParseTime(RunTime1!J6),ParseTime(RunTime2!J6),ParseTime(RunTime3!J6),ParseTime(RunTime4!J6))</f>
        <v>0.99510458388963052</v>
      </c>
      <c r="R6" s="4">
        <f>AVERAGE(ParseTime(RunTime1!G6),ParseTime(RunTime2!G6),ParseTime(RunTime3!G6),ParseTime(RunTime4!G6))
/
AVERAGE(ParseTime(RunTime1!I6),ParseTime(RunTime2!I6),ParseTime(RunTime3!I6),ParseTime(RunTime4!I6))</f>
        <v>0.92628398791540789</v>
      </c>
      <c r="S6" s="4">
        <f>AVERAGE(ParseTime(RunTime1!H6),ParseTime(RunTime2!H6),ParseTime(RunTime3!H6),ParseTime(RunTime4!H6))
/
AVERAGE(ParseTime(RunTime1!I6),ParseTime(RunTime2!I6),ParseTime(RunTime3!I6),ParseTime(RunTime4!I6))</f>
        <v>1.2384692849949648</v>
      </c>
      <c r="T6" s="4">
        <f>AVERAGE(ParseTime(RunTime1!G6),ParseTime(RunTime2!G6),ParseTime(RunTime3!G6),ParseTime(RunTime4!G6))
/
AVERAGE(ParseTime(RunTime1!J6),ParseTime(RunTime2!J6),ParseTime(RunTime3!J6),ParseTime(RunTime4!J6))</f>
        <v>0.74426508071367881</v>
      </c>
      <c r="U6" t="s">
        <v>18</v>
      </c>
    </row>
    <row r="7" spans="1:21" x14ac:dyDescent="0.25">
      <c r="A7" t="s">
        <v>294</v>
      </c>
      <c r="B7" t="s">
        <v>37</v>
      </c>
      <c r="C7" t="s">
        <v>19</v>
      </c>
      <c r="D7" s="1">
        <v>280114</v>
      </c>
      <c r="E7">
        <v>2</v>
      </c>
      <c r="F7" t="s">
        <v>44</v>
      </c>
      <c r="G7" t="s">
        <v>45</v>
      </c>
      <c r="H7" t="s">
        <v>46</v>
      </c>
      <c r="I7" t="s">
        <v>970</v>
      </c>
      <c r="J7" t="s">
        <v>1014</v>
      </c>
      <c r="K7" t="s">
        <v>47</v>
      </c>
      <c r="L7" t="s">
        <v>48</v>
      </c>
      <c r="M7" t="s">
        <v>49</v>
      </c>
      <c r="N7" t="s">
        <v>513</v>
      </c>
      <c r="O7" s="4">
        <f>AVERAGE(ParseTime(RunTime1!F7),ParseTime(RunTime2!F7),ParseTime(RunTime3!F7),ParseTime(RunTime4!F7))
/
AVERAGE(ParseTime(RunTime1!J7),ParseTime(RunTime2!J7),ParseTime(RunTime3!J7),ParseTime(RunTime4!J7))</f>
        <v>0.58038041765733772</v>
      </c>
      <c r="P7" s="4">
        <f>AVERAGE(ParseTime(RunTime1!F7),ParseTime(RunTime2!F7),ParseTime(RunTime3!F7),ParseTime(RunTime4!F7))
/
AVERAGE(ParseTime(RunTime1!I7),ParseTime(RunTime2!I7),ParseTime(RunTime3!I7),ParseTime(RunTime4!I7))</f>
        <v>1.900698907078193</v>
      </c>
      <c r="Q7" s="4">
        <f>AVERAGE(ParseTime(RunTime1!H7),ParseTime(RunTime2!H7),ParseTime(RunTime3!H7),ParseTime(RunTime4!H7))
/
AVERAGE(ParseTime(RunTime1!J7),ParseTime(RunTime2!J7),ParseTime(RunTime3!J7),ParseTime(RunTime4!J7))</f>
        <v>0.2914721132086282</v>
      </c>
      <c r="R7" s="4">
        <f>AVERAGE(ParseTime(RunTime1!G7),ParseTime(RunTime2!G7),ParseTime(RunTime3!G7),ParseTime(RunTime4!G7))
/
AVERAGE(ParseTime(RunTime1!I7),ParseTime(RunTime2!I7),ParseTime(RunTime3!I7),ParseTime(RunTime4!I7))</f>
        <v>0.74797129321262712</v>
      </c>
      <c r="S7" s="4">
        <f>AVERAGE(ParseTime(RunTime1!H7),ParseTime(RunTime2!H7),ParseTime(RunTime3!H7),ParseTime(RunTime4!H7))
/
AVERAGE(ParseTime(RunTime1!I7),ParseTime(RunTime2!I7),ParseTime(RunTime3!I7),ParseTime(RunTime4!I7))</f>
        <v>0.95454758665978701</v>
      </c>
      <c r="T7" s="4">
        <f>AVERAGE(ParseTime(RunTime1!G7),ParseTime(RunTime2!G7),ParseTime(RunTime3!G7),ParseTime(RunTime4!G7))
/
AVERAGE(ParseTime(RunTime1!J7),ParseTime(RunTime2!J7),ParseTime(RunTime3!J7),ParseTime(RunTime4!J7))</f>
        <v>0.22839382394224986</v>
      </c>
      <c r="U7" t="s">
        <v>18</v>
      </c>
    </row>
    <row r="8" spans="1:21" x14ac:dyDescent="0.25">
      <c r="A8" t="s">
        <v>294</v>
      </c>
      <c r="B8" t="s">
        <v>50</v>
      </c>
      <c r="C8" t="s">
        <v>11</v>
      </c>
      <c r="D8" s="1">
        <v>306846</v>
      </c>
      <c r="E8">
        <v>2</v>
      </c>
      <c r="F8" t="s">
        <v>51</v>
      </c>
      <c r="G8" t="s">
        <v>52</v>
      </c>
      <c r="H8" t="s">
        <v>53</v>
      </c>
      <c r="I8" t="s">
        <v>971</v>
      </c>
      <c r="J8" t="s">
        <v>1015</v>
      </c>
      <c r="K8" t="s">
        <v>54</v>
      </c>
      <c r="L8" t="s">
        <v>55</v>
      </c>
      <c r="M8" t="s">
        <v>56</v>
      </c>
      <c r="N8" t="s">
        <v>15</v>
      </c>
      <c r="O8" s="4">
        <f>AVERAGE(ParseTime(RunTime1!F8),ParseTime(RunTime2!F8),ParseTime(RunTime3!F8),ParseTime(RunTime4!F8))
/
AVERAGE(ParseTime(RunTime1!J8),ParseTime(RunTime2!J8),ParseTime(RunTime3!J8),ParseTime(RunTime4!J8))</f>
        <v>1.7187417625867674</v>
      </c>
      <c r="P8" s="4">
        <f>AVERAGE(ParseTime(RunTime1!F8),ParseTime(RunTime2!F8),ParseTime(RunTime3!F8),ParseTime(RunTime4!F8))
/
AVERAGE(ParseTime(RunTime1!I8),ParseTime(RunTime2!I8),ParseTime(RunTime3!I8),ParseTime(RunTime4!I8))</f>
        <v>2.001944529730836</v>
      </c>
      <c r="Q8" s="4">
        <f>AVERAGE(ParseTime(RunTime1!H8),ParseTime(RunTime2!H8),ParseTime(RunTime3!H8),ParseTime(RunTime4!H8))
/
AVERAGE(ParseTime(RunTime1!J8),ParseTime(RunTime2!J8),ParseTime(RunTime3!J8),ParseTime(RunTime4!J8))</f>
        <v>0.73508479044020736</v>
      </c>
      <c r="R8" s="4">
        <f>AVERAGE(ParseTime(RunTime1!G8),ParseTime(RunTime2!G8),ParseTime(RunTime3!G8),ParseTime(RunTime4!G8))
/
AVERAGE(ParseTime(RunTime1!I8),ParseTime(RunTime2!I8),ParseTime(RunTime3!I8),ParseTime(RunTime4!I8))</f>
        <v>0.92887114931941461</v>
      </c>
      <c r="S8" s="4">
        <f>AVERAGE(ParseTime(RunTime1!H8),ParseTime(RunTime2!H8),ParseTime(RunTime3!H8),ParseTime(RunTime4!H8))
/
AVERAGE(ParseTime(RunTime1!I8),ParseTime(RunTime2!I8),ParseTime(RunTime3!I8),ParseTime(RunTime4!I8))</f>
        <v>0.85620714358816896</v>
      </c>
      <c r="T8" s="4">
        <f>AVERAGE(ParseTime(RunTime1!G8),ParseTime(RunTime2!G8),ParseTime(RunTime3!G8),ParseTime(RunTime4!G8))
/
AVERAGE(ParseTime(RunTime1!J8),ParseTime(RunTime2!J8),ParseTime(RunTime3!J8),ParseTime(RunTime4!J8))</f>
        <v>0.79746946665495122</v>
      </c>
      <c r="U8" t="s">
        <v>18</v>
      </c>
    </row>
    <row r="9" spans="1:21" x14ac:dyDescent="0.25">
      <c r="A9" t="s">
        <v>294</v>
      </c>
      <c r="B9" t="s">
        <v>50</v>
      </c>
      <c r="C9" t="s">
        <v>19</v>
      </c>
      <c r="D9" s="1">
        <v>301639</v>
      </c>
      <c r="E9">
        <v>2</v>
      </c>
      <c r="F9" t="s">
        <v>57</v>
      </c>
      <c r="G9" t="s">
        <v>58</v>
      </c>
      <c r="H9" t="s">
        <v>59</v>
      </c>
      <c r="I9" t="s">
        <v>861</v>
      </c>
      <c r="J9" t="s">
        <v>1016</v>
      </c>
      <c r="K9" t="s">
        <v>60</v>
      </c>
      <c r="L9" t="s">
        <v>61</v>
      </c>
      <c r="M9" t="s">
        <v>62</v>
      </c>
      <c r="N9" t="s">
        <v>789</v>
      </c>
      <c r="O9" s="4">
        <f>AVERAGE(ParseTime(RunTime1!F9),ParseTime(RunTime2!F9),ParseTime(RunTime3!F9),ParseTime(RunTime4!F9))
/
AVERAGE(ParseTime(RunTime1!J9),ParseTime(RunTime2!J9),ParseTime(RunTime3!J9),ParseTime(RunTime4!J9))</f>
        <v>1.4177521740725794</v>
      </c>
      <c r="P9" s="4">
        <f>AVERAGE(ParseTime(RunTime1!F9),ParseTime(RunTime2!F9),ParseTime(RunTime3!F9),ParseTime(RunTime4!F9))
/
AVERAGE(ParseTime(RunTime1!I9),ParseTime(RunTime2!I9),ParseTime(RunTime3!I9),ParseTime(RunTime4!I9))</f>
        <v>1.9071076011846007</v>
      </c>
      <c r="Q9" s="4">
        <f>AVERAGE(ParseTime(RunTime1!H9),ParseTime(RunTime2!H9),ParseTime(RunTime3!H9),ParseTime(RunTime4!H9))
/
AVERAGE(ParseTime(RunTime1!J9),ParseTime(RunTime2!J9),ParseTime(RunTime3!J9),ParseTime(RunTime4!J9))</f>
        <v>0.71654496752651076</v>
      </c>
      <c r="R9" s="4">
        <f>AVERAGE(ParseTime(RunTime1!G9),ParseTime(RunTime2!G9),ParseTime(RunTime3!G9),ParseTime(RunTime4!G9))
/
AVERAGE(ParseTime(RunTime1!I9),ParseTime(RunTime2!I9),ParseTime(RunTime3!I9),ParseTime(RunTime4!I9))</f>
        <v>0.75918065153010861</v>
      </c>
      <c r="S9" s="4">
        <f>AVERAGE(ParseTime(RunTime1!H9),ParseTime(RunTime2!H9),ParseTime(RunTime3!H9),ParseTime(RunTime4!H9))
/
AVERAGE(ParseTime(RunTime1!I9),ParseTime(RunTime2!I9),ParseTime(RunTime3!I9),ParseTime(RunTime4!I9))</f>
        <v>0.96386969397828237</v>
      </c>
      <c r="T9" s="4">
        <f>AVERAGE(ParseTime(RunTime1!G9),ParseTime(RunTime2!G9),ParseTime(RunTime3!G9),ParseTime(RunTime4!G9))
/
AVERAGE(ParseTime(RunTime1!J9),ParseTime(RunTime2!J9),ParseTime(RunTime3!J9),ParseTime(RunTime4!J9))</f>
        <v>0.56437823358896266</v>
      </c>
      <c r="U9" t="s">
        <v>18</v>
      </c>
    </row>
    <row r="10" spans="1:21" x14ac:dyDescent="0.25">
      <c r="A10" t="s">
        <v>294</v>
      </c>
      <c r="B10" t="s">
        <v>63</v>
      </c>
      <c r="C10" t="s">
        <v>11</v>
      </c>
      <c r="D10" s="1">
        <v>243732</v>
      </c>
      <c r="E10">
        <v>2</v>
      </c>
      <c r="F10" t="s">
        <v>64</v>
      </c>
      <c r="G10" t="s">
        <v>65</v>
      </c>
      <c r="H10" t="s">
        <v>66</v>
      </c>
      <c r="I10" t="s">
        <v>972</v>
      </c>
      <c r="J10" t="s">
        <v>1017</v>
      </c>
      <c r="K10" t="s">
        <v>67</v>
      </c>
      <c r="L10" t="s">
        <v>68</v>
      </c>
      <c r="M10" t="s">
        <v>69</v>
      </c>
      <c r="N10" t="s">
        <v>599</v>
      </c>
      <c r="O10" s="4">
        <f>AVERAGE(ParseTime(RunTime1!F10),ParseTime(RunTime2!F10),ParseTime(RunTime3!F10),ParseTime(RunTime4!F10))
/
AVERAGE(ParseTime(RunTime1!J10),ParseTime(RunTime2!J10),ParseTime(RunTime3!J10),ParseTime(RunTime4!J10))</f>
        <v>2.7974368783473604</v>
      </c>
      <c r="P10" s="4">
        <f>AVERAGE(ParseTime(RunTime1!F10),ParseTime(RunTime2!F10),ParseTime(RunTime3!F10),ParseTime(RunTime4!F10))
/
AVERAGE(ParseTime(RunTime1!I10),ParseTime(RunTime2!I10),ParseTime(RunTime3!I10),ParseTime(RunTime4!I10))</f>
        <v>3.2053038189688232</v>
      </c>
      <c r="Q10" s="4">
        <f>AVERAGE(ParseTime(RunTime1!H10),ParseTime(RunTime2!H10),ParseTime(RunTime3!H10),ParseTime(RunTime4!H10))
/
AVERAGE(ParseTime(RunTime1!J10),ParseTime(RunTime2!J10),ParseTime(RunTime3!J10),ParseTime(RunTime4!J10))</f>
        <v>0.92712318286151507</v>
      </c>
      <c r="R10" s="4">
        <f>AVERAGE(ParseTime(RunTime1!G10),ParseTime(RunTime2!G10),ParseTime(RunTime3!G10),ParseTime(RunTime4!G10))
/
AVERAGE(ParseTime(RunTime1!I10),ParseTime(RunTime2!I10),ParseTime(RunTime3!I10),ParseTime(RunTime4!I10))</f>
        <v>1.0537504794257848</v>
      </c>
      <c r="S10" s="4">
        <f>AVERAGE(ParseTime(RunTime1!H10),ParseTime(RunTime2!H10),ParseTime(RunTime3!H10),ParseTime(RunTime4!H10))
/
AVERAGE(ParseTime(RunTime1!I10),ParseTime(RunTime2!I10),ParseTime(RunTime3!I10),ParseTime(RunTime4!I10))</f>
        <v>1.0622979562763684</v>
      </c>
      <c r="T10" s="4">
        <f>AVERAGE(ParseTime(RunTime1!G10),ParseTime(RunTime2!G10),ParseTime(RunTime3!G10),ParseTime(RunTime4!G10))
/
AVERAGE(ParseTime(RunTime1!J10),ParseTime(RunTime2!J10),ParseTime(RunTime3!J10),ParseTime(RunTime4!J10))</f>
        <v>0.91966335118592202</v>
      </c>
      <c r="U10" t="s">
        <v>18</v>
      </c>
    </row>
    <row r="11" spans="1:21" x14ac:dyDescent="0.25">
      <c r="A11" t="s">
        <v>294</v>
      </c>
      <c r="B11" t="s">
        <v>63</v>
      </c>
      <c r="C11" t="s">
        <v>19</v>
      </c>
      <c r="D11" s="1">
        <v>251509</v>
      </c>
      <c r="E11">
        <v>2</v>
      </c>
      <c r="F11" t="s">
        <v>70</v>
      </c>
      <c r="G11" t="s">
        <v>71</v>
      </c>
      <c r="H11" t="s">
        <v>72</v>
      </c>
      <c r="I11" t="s">
        <v>973</v>
      </c>
      <c r="J11" t="s">
        <v>1018</v>
      </c>
      <c r="K11" t="s">
        <v>73</v>
      </c>
      <c r="L11" t="s">
        <v>74</v>
      </c>
      <c r="M11" t="s">
        <v>75</v>
      </c>
      <c r="N11" t="s">
        <v>412</v>
      </c>
      <c r="O11" s="4">
        <f>AVERAGE(ParseTime(RunTime1!F11),ParseTime(RunTime2!F11),ParseTime(RunTime3!F11),ParseTime(RunTime4!F11))
/
AVERAGE(ParseTime(RunTime1!J11),ParseTime(RunTime2!J11),ParseTime(RunTime3!J11),ParseTime(RunTime4!J11))</f>
        <v>2.8910788916980548</v>
      </c>
      <c r="P11" s="4">
        <f>AVERAGE(ParseTime(RunTime1!F11),ParseTime(RunTime2!F11),ParseTime(RunTime3!F11),ParseTime(RunTime4!F11))
/
AVERAGE(ParseTime(RunTime1!I11),ParseTime(RunTime2!I11),ParseTime(RunTime3!I11),ParseTime(RunTime4!I11))</f>
        <v>3.1998172577237165</v>
      </c>
      <c r="Q11" s="4">
        <f>AVERAGE(ParseTime(RunTime1!H11),ParseTime(RunTime2!H11),ParseTime(RunTime3!H11),ParseTime(RunTime4!H11))
/
AVERAGE(ParseTime(RunTime1!J11),ParseTime(RunTime2!J11),ParseTime(RunTime3!J11),ParseTime(RunTime4!J11))</f>
        <v>0.88468087301996801</v>
      </c>
      <c r="R11" s="4">
        <f>AVERAGE(ParseTime(RunTime1!G11),ParseTime(RunTime2!G11),ParseTime(RunTime3!G11),ParseTime(RunTime4!G11))
/
AVERAGE(ParseTime(RunTime1!I11),ParseTime(RunTime2!I11),ParseTime(RunTime3!I11),ParseTime(RunTime4!I11))</f>
        <v>0.71960481982753699</v>
      </c>
      <c r="S11" s="4">
        <f>AVERAGE(ParseTime(RunTime1!H11),ParseTime(RunTime2!H11),ParseTime(RunTime3!H11),ParseTime(RunTime4!H11))
/
AVERAGE(ParseTime(RunTime1!I11),ParseTime(RunTime2!I11),ParseTime(RunTime3!I11),ParseTime(RunTime4!I11))</f>
        <v>0.97915595911141573</v>
      </c>
      <c r="T11" s="4">
        <f>AVERAGE(ParseTime(RunTime1!G11),ParseTime(RunTime2!G11),ParseTime(RunTime3!G11),ParseTime(RunTime4!G11))
/
AVERAGE(ParseTime(RunTime1!J11),ParseTime(RunTime2!J11),ParseTime(RunTime3!J11),ParseTime(RunTime4!J11))</f>
        <v>0.65017284969815792</v>
      </c>
      <c r="U11" t="s">
        <v>18</v>
      </c>
    </row>
    <row r="12" spans="1:21" x14ac:dyDescent="0.25">
      <c r="A12" t="s">
        <v>294</v>
      </c>
      <c r="B12" t="s">
        <v>76</v>
      </c>
      <c r="C12" t="s">
        <v>11</v>
      </c>
      <c r="D12" s="1">
        <v>259612</v>
      </c>
      <c r="E12">
        <v>2</v>
      </c>
      <c r="F12" t="s">
        <v>77</v>
      </c>
      <c r="G12" t="s">
        <v>78</v>
      </c>
      <c r="H12" t="s">
        <v>79</v>
      </c>
      <c r="I12" t="s">
        <v>974</v>
      </c>
      <c r="J12" t="s">
        <v>1019</v>
      </c>
      <c r="K12" t="s">
        <v>80</v>
      </c>
      <c r="L12" t="s">
        <v>81</v>
      </c>
      <c r="M12" t="s">
        <v>82</v>
      </c>
      <c r="N12" t="s">
        <v>47</v>
      </c>
      <c r="O12" s="4">
        <f>AVERAGE(ParseTime(RunTime1!F12),ParseTime(RunTime2!F12),ParseTime(RunTime3!F12),ParseTime(RunTime4!F12))
/
AVERAGE(ParseTime(RunTime1!J12),ParseTime(RunTime2!J12),ParseTime(RunTime3!J12),ParseTime(RunTime4!J12))</f>
        <v>1.881027827389526</v>
      </c>
      <c r="P12" s="4">
        <f>AVERAGE(ParseTime(RunTime1!F12),ParseTime(RunTime2!F12),ParseTime(RunTime3!F12),ParseTime(RunTime4!F12))
/
AVERAGE(ParseTime(RunTime1!I12),ParseTime(RunTime2!I12),ParseTime(RunTime3!I12),ParseTime(RunTime4!I12))</f>
        <v>1.9180472329925979</v>
      </c>
      <c r="Q12" s="4">
        <f>AVERAGE(ParseTime(RunTime1!H12),ParseTime(RunTime2!H12),ParseTime(RunTime3!H12),ParseTime(RunTime4!H12))
/
AVERAGE(ParseTime(RunTime1!J12),ParseTime(RunTime2!J12),ParseTime(RunTime3!J12),ParseTime(RunTime4!J12))</f>
        <v>1.0412513683240192</v>
      </c>
      <c r="R12" s="4">
        <f>AVERAGE(ParseTime(RunTime1!G12),ParseTime(RunTime2!G12),ParseTime(RunTime3!G12),ParseTime(RunTime4!G12))
/
AVERAGE(ParseTime(RunTime1!I12),ParseTime(RunTime2!I12),ParseTime(RunTime3!I12),ParseTime(RunTime4!I12))</f>
        <v>0.92492069087063811</v>
      </c>
      <c r="S12" s="4">
        <f>AVERAGE(ParseTime(RunTime1!H12),ParseTime(RunTime2!H12),ParseTime(RunTime3!H12),ParseTime(RunTime4!H12))
/
AVERAGE(ParseTime(RunTime1!I12),ParseTime(RunTime2!I12),ParseTime(RunTime3!I12),ParseTime(RunTime4!I12))</f>
        <v>1.0617436258958994</v>
      </c>
      <c r="T12" s="4">
        <f>AVERAGE(ParseTime(RunTime1!G12),ParseTime(RunTime2!G12),ParseTime(RunTime3!G12),ParseTime(RunTime4!G12))
/
AVERAGE(ParseTime(RunTime1!J12),ParseTime(RunTime2!J12),ParseTime(RunTime3!J12),ParseTime(RunTime4!J12))</f>
        <v>0.90706919398513575</v>
      </c>
      <c r="U12" t="s">
        <v>18</v>
      </c>
    </row>
    <row r="13" spans="1:21" x14ac:dyDescent="0.25">
      <c r="A13" t="s">
        <v>294</v>
      </c>
      <c r="B13" t="s">
        <v>76</v>
      </c>
      <c r="C13" t="s">
        <v>19</v>
      </c>
      <c r="D13" s="1">
        <v>265657</v>
      </c>
      <c r="E13">
        <v>2</v>
      </c>
      <c r="F13" t="s">
        <v>83</v>
      </c>
      <c r="G13" t="s">
        <v>84</v>
      </c>
      <c r="H13" t="s">
        <v>85</v>
      </c>
      <c r="I13" t="s">
        <v>975</v>
      </c>
      <c r="J13" t="s">
        <v>1020</v>
      </c>
      <c r="K13" t="s">
        <v>86</v>
      </c>
      <c r="L13" t="s">
        <v>87</v>
      </c>
      <c r="M13" t="s">
        <v>88</v>
      </c>
      <c r="N13" t="s">
        <v>245</v>
      </c>
      <c r="O13" s="4">
        <f>AVERAGE(ParseTime(RunTime1!F13),ParseTime(RunTime2!F13),ParseTime(RunTime3!F13),ParseTime(RunTime4!F13))
/
AVERAGE(ParseTime(RunTime1!J13),ParseTime(RunTime2!J13),ParseTime(RunTime3!J13),ParseTime(RunTime4!J13))</f>
        <v>1.5287199745720383</v>
      </c>
      <c r="P13" s="4">
        <f>AVERAGE(ParseTime(RunTime1!F13),ParseTime(RunTime2!F13),ParseTime(RunTime3!F13),ParseTime(RunTime4!F13))
/
AVERAGE(ParseTime(RunTime1!I13),ParseTime(RunTime2!I13),ParseTime(RunTime3!I13),ParseTime(RunTime4!I13))</f>
        <v>2.1031359320339833</v>
      </c>
      <c r="Q13" s="4">
        <f>AVERAGE(ParseTime(RunTime1!H13),ParseTime(RunTime2!H13),ParseTime(RunTime3!H13),ParseTime(RunTime4!H13))
/
AVERAGE(ParseTime(RunTime1!J13),ParseTime(RunTime2!J13),ParseTime(RunTime3!J13),ParseTime(RunTime4!J13))</f>
        <v>0.88952458793079947</v>
      </c>
      <c r="R13" s="4">
        <f>AVERAGE(ParseTime(RunTime1!G13),ParseTime(RunTime2!G13),ParseTime(RunTime3!G13),ParseTime(RunTime4!G13))
/
AVERAGE(ParseTime(RunTime1!I13),ParseTime(RunTime2!I13),ParseTime(RunTime3!I13),ParseTime(RunTime4!I13))</f>
        <v>0.73069715142428793</v>
      </c>
      <c r="S13" s="4">
        <f>AVERAGE(ParseTime(RunTime1!H13),ParseTime(RunTime2!H13),ParseTime(RunTime3!H13),ParseTime(RunTime4!H13))
/
AVERAGE(ParseTime(RunTime1!I13),ParseTime(RunTime2!I13),ParseTime(RunTime3!I13),ParseTime(RunTime4!I13))</f>
        <v>1.2237631184407793</v>
      </c>
      <c r="T13" s="4">
        <f>AVERAGE(ParseTime(RunTime1!G13),ParseTime(RunTime2!G13),ParseTime(RunTime3!G13),ParseTime(RunTime4!G13))
/
AVERAGE(ParseTime(RunTime1!J13),ParseTime(RunTime2!J13),ParseTime(RunTime3!J13),ParseTime(RunTime4!J13))</f>
        <v>0.53112654951641469</v>
      </c>
      <c r="U13" t="s">
        <v>18</v>
      </c>
    </row>
    <row r="14" spans="1:21" x14ac:dyDescent="0.25">
      <c r="A14" t="s">
        <v>294</v>
      </c>
      <c r="B14" t="s">
        <v>89</v>
      </c>
      <c r="C14" t="s">
        <v>11</v>
      </c>
      <c r="D14" s="1">
        <v>235305</v>
      </c>
      <c r="E14">
        <v>2</v>
      </c>
      <c r="F14" t="s">
        <v>90</v>
      </c>
      <c r="G14" t="s">
        <v>91</v>
      </c>
      <c r="H14" t="s">
        <v>92</v>
      </c>
      <c r="I14" t="s">
        <v>976</v>
      </c>
      <c r="J14" t="s">
        <v>1021</v>
      </c>
      <c r="K14" t="s">
        <v>73</v>
      </c>
      <c r="L14" t="s">
        <v>93</v>
      </c>
      <c r="M14" t="s">
        <v>94</v>
      </c>
      <c r="N14" t="s">
        <v>537</v>
      </c>
      <c r="O14" s="4">
        <f>AVERAGE(ParseTime(RunTime1!F14),ParseTime(RunTime2!F14),ParseTime(RunTime3!F14),ParseTime(RunTime4!F14))
/
AVERAGE(ParseTime(RunTime1!J14),ParseTime(RunTime2!J14),ParseTime(RunTime3!J14),ParseTime(RunTime4!J14))</f>
        <v>1.6537027888804057</v>
      </c>
      <c r="P14" s="4">
        <f>AVERAGE(ParseTime(RunTime1!F14),ParseTime(RunTime2!F14),ParseTime(RunTime3!F14),ParseTime(RunTime4!F14))
/
AVERAGE(ParseTime(RunTime1!I14),ParseTime(RunTime2!I14),ParseTime(RunTime3!I14),ParseTime(RunTime4!I14))</f>
        <v>2.3493045808345032</v>
      </c>
      <c r="Q14" s="4">
        <f>AVERAGE(ParseTime(RunTime1!H14),ParseTime(RunTime2!H14),ParseTime(RunTime3!H14),ParseTime(RunTime4!H14))
/
AVERAGE(ParseTime(RunTime1!J14),ParseTime(RunTime2!J14),ParseTime(RunTime3!J14),ParseTime(RunTime4!J14))</f>
        <v>0.69582790676786277</v>
      </c>
      <c r="R14" s="4">
        <f>AVERAGE(ParseTime(RunTime1!G14),ParseTime(RunTime2!G14),ParseTime(RunTime3!G14),ParseTime(RunTime4!G14))
/
AVERAGE(ParseTime(RunTime1!I14),ParseTime(RunTime2!I14),ParseTime(RunTime3!I14),ParseTime(RunTime4!I14))</f>
        <v>0.78422865892560933</v>
      </c>
      <c r="S14" s="4">
        <f>AVERAGE(ParseTime(RunTime1!H14),ParseTime(RunTime2!H14),ParseTime(RunTime3!H14),ParseTime(RunTime4!H14))
/
AVERAGE(ParseTime(RunTime1!I14),ParseTime(RunTime2!I14),ParseTime(RunTime3!I14),ParseTime(RunTime4!I14))</f>
        <v>0.98851601378078358</v>
      </c>
      <c r="T14" s="4">
        <f>AVERAGE(ParseTime(RunTime1!G14),ParseTime(RunTime2!G14),ParseTime(RunTime3!G14),ParseTime(RunTime4!G14))
/
AVERAGE(ParseTime(RunTime1!J14),ParseTime(RunTime2!J14),ParseTime(RunTime3!J14),ParseTime(RunTime4!J14))</f>
        <v>0.55202766425652305</v>
      </c>
      <c r="U14" t="s">
        <v>18</v>
      </c>
    </row>
    <row r="15" spans="1:21" x14ac:dyDescent="0.25">
      <c r="A15" t="s">
        <v>294</v>
      </c>
      <c r="B15" t="s">
        <v>89</v>
      </c>
      <c r="C15" t="s">
        <v>19</v>
      </c>
      <c r="D15" s="1">
        <v>233608</v>
      </c>
      <c r="E15">
        <v>2</v>
      </c>
      <c r="F15" t="s">
        <v>95</v>
      </c>
      <c r="G15" t="s">
        <v>96</v>
      </c>
      <c r="H15" t="s">
        <v>97</v>
      </c>
      <c r="I15" t="s">
        <v>977</v>
      </c>
      <c r="J15" t="s">
        <v>1022</v>
      </c>
      <c r="K15" t="s">
        <v>98</v>
      </c>
      <c r="L15" t="s">
        <v>99</v>
      </c>
      <c r="M15" t="s">
        <v>100</v>
      </c>
      <c r="N15" t="s">
        <v>1055</v>
      </c>
      <c r="O15" s="4">
        <f>AVERAGE(ParseTime(RunTime1!F15),ParseTime(RunTime2!F15),ParseTime(RunTime3!F15),ParseTime(RunTime4!F15))
/
AVERAGE(ParseTime(RunTime1!J15),ParseTime(RunTime2!J15),ParseTime(RunTime3!J15),ParseTime(RunTime4!J15))</f>
        <v>1.7054108216432864</v>
      </c>
      <c r="P15" s="4">
        <f>AVERAGE(ParseTime(RunTime1!F15),ParseTime(RunTime2!F15),ParseTime(RunTime3!F15),ParseTime(RunTime4!F15))
/
AVERAGE(ParseTime(RunTime1!I15),ParseTime(RunTime2!I15),ParseTime(RunTime3!I15),ParseTime(RunTime4!I15))</f>
        <v>2.0313898669212866</v>
      </c>
      <c r="Q15" s="4">
        <f>AVERAGE(ParseTime(RunTime1!H15),ParseTime(RunTime2!H15),ParseTime(RunTime3!H15),ParseTime(RunTime4!H15))
/
AVERAGE(ParseTime(RunTime1!J15),ParseTime(RunTime2!J15),ParseTime(RunTime3!J15),ParseTime(RunTime4!J15))</f>
        <v>0.93892785571142279</v>
      </c>
      <c r="R15" s="4">
        <f>AVERAGE(ParseTime(RunTime1!G15),ParseTime(RunTime2!G15),ParseTime(RunTime3!G15),ParseTime(RunTime4!G15))
/
AVERAGE(ParseTime(RunTime1!I15),ParseTime(RunTime2!I15),ParseTime(RunTime3!I15),ParseTime(RunTime4!I15))</f>
        <v>0.61257981738974765</v>
      </c>
      <c r="S15" s="4">
        <f>AVERAGE(ParseTime(RunTime1!H15),ParseTime(RunTime2!H15),ParseTime(RunTime3!H15),ParseTime(RunTime4!H15))
/
AVERAGE(ParseTime(RunTime1!I15),ParseTime(RunTime2!I15),ParseTime(RunTime3!I15),ParseTime(RunTime4!I15))</f>
        <v>1.1183982813152713</v>
      </c>
      <c r="T15" s="4">
        <f>AVERAGE(ParseTime(RunTime1!G15),ParseTime(RunTime2!G15),ParseTime(RunTime3!G15),ParseTime(RunTime4!G15))
/
AVERAGE(ParseTime(RunTime1!J15),ParseTime(RunTime2!J15),ParseTime(RunTime3!J15),ParseTime(RunTime4!J15))</f>
        <v>0.51427855711422843</v>
      </c>
      <c r="U15" t="s">
        <v>18</v>
      </c>
    </row>
    <row r="16" spans="1:21" x14ac:dyDescent="0.25">
      <c r="A16" t="s">
        <v>294</v>
      </c>
      <c r="B16" t="s">
        <v>101</v>
      </c>
      <c r="C16" t="s">
        <v>11</v>
      </c>
      <c r="D16" s="1">
        <v>222180</v>
      </c>
      <c r="E16">
        <v>2</v>
      </c>
      <c r="F16" t="s">
        <v>102</v>
      </c>
      <c r="G16" t="s">
        <v>103</v>
      </c>
      <c r="H16" t="s">
        <v>104</v>
      </c>
      <c r="I16" t="s">
        <v>978</v>
      </c>
      <c r="J16" t="s">
        <v>1023</v>
      </c>
      <c r="K16" t="s">
        <v>105</v>
      </c>
      <c r="L16" t="s">
        <v>106</v>
      </c>
      <c r="M16" t="s">
        <v>107</v>
      </c>
      <c r="N16" t="s">
        <v>465</v>
      </c>
      <c r="O16" s="4">
        <f>AVERAGE(ParseTime(RunTime1!F16),ParseTime(RunTime2!F16),ParseTime(RunTime3!F16),ParseTime(RunTime4!F16))
/
AVERAGE(ParseTime(RunTime1!J16),ParseTime(RunTime2!J16),ParseTime(RunTime3!J16),ParseTime(RunTime4!J16))</f>
        <v>1.6240388506677459</v>
      </c>
      <c r="P16" s="4">
        <f>AVERAGE(ParseTime(RunTime1!F16),ParseTime(RunTime2!F16),ParseTime(RunTime3!F16),ParseTime(RunTime4!F16))
/
AVERAGE(ParseTime(RunTime1!I16),ParseTime(RunTime2!I16),ParseTime(RunTime3!I16),ParseTime(RunTime4!I16))</f>
        <v>1.7224232019130541</v>
      </c>
      <c r="Q16" s="4">
        <f>AVERAGE(ParseTime(RunTime1!H16),ParseTime(RunTime2!H16),ParseTime(RunTime3!H16),ParseTime(RunTime4!H16))
/
AVERAGE(ParseTime(RunTime1!J16),ParseTime(RunTime2!J16),ParseTime(RunTime3!J16),ParseTime(RunTime4!J16))</f>
        <v>0.99485459906342133</v>
      </c>
      <c r="R16" s="4">
        <f>AVERAGE(ParseTime(RunTime1!G16),ParseTime(RunTime2!G16),ParseTime(RunTime3!G16),ParseTime(RunTime4!G16))
/
AVERAGE(ParseTime(RunTime1!I16),ParseTime(RunTime2!I16),ParseTime(RunTime3!I16),ParseTime(RunTime4!I16))</f>
        <v>0.80495431970077869</v>
      </c>
      <c r="S16" s="4">
        <f>AVERAGE(ParseTime(RunTime1!H16),ParseTime(RunTime2!H16),ParseTime(RunTime3!H16),ParseTime(RunTime4!H16))
/
AVERAGE(ParseTime(RunTime1!I16),ParseTime(RunTime2!I16),ParseTime(RunTime3!I16),ParseTime(RunTime4!I16))</f>
        <v>1.0551229382549512</v>
      </c>
      <c r="T16" s="4">
        <f>AVERAGE(ParseTime(RunTime1!G16),ParseTime(RunTime2!G16),ParseTime(RunTime3!G16),ParseTime(RunTime4!G16))
/
AVERAGE(ParseTime(RunTime1!J16),ParseTime(RunTime2!J16),ParseTime(RunTime3!J16),ParseTime(RunTime4!J16))</f>
        <v>0.75897554489217778</v>
      </c>
      <c r="U16" t="s">
        <v>18</v>
      </c>
    </row>
    <row r="17" spans="1:21" x14ac:dyDescent="0.25">
      <c r="A17" t="s">
        <v>294</v>
      </c>
      <c r="B17" t="s">
        <v>101</v>
      </c>
      <c r="C17" t="s">
        <v>19</v>
      </c>
      <c r="D17" s="1">
        <v>215330</v>
      </c>
      <c r="E17">
        <v>2</v>
      </c>
      <c r="F17" t="s">
        <v>108</v>
      </c>
      <c r="G17" t="s">
        <v>109</v>
      </c>
      <c r="H17" t="s">
        <v>110</v>
      </c>
      <c r="I17" t="s">
        <v>979</v>
      </c>
      <c r="J17" t="s">
        <v>1024</v>
      </c>
      <c r="K17" t="s">
        <v>111</v>
      </c>
      <c r="L17" t="s">
        <v>112</v>
      </c>
      <c r="M17" t="s">
        <v>113</v>
      </c>
      <c r="N17" t="s">
        <v>1056</v>
      </c>
      <c r="O17" s="4">
        <f>AVERAGE(ParseTime(RunTime1!F17),ParseTime(RunTime2!F17),ParseTime(RunTime3!F17),ParseTime(RunTime4!F17))
/
AVERAGE(ParseTime(RunTime1!J17),ParseTime(RunTime2!J17),ParseTime(RunTime3!J17),ParseTime(RunTime4!J17))</f>
        <v>1.399324754122425</v>
      </c>
      <c r="P17" s="4">
        <f>AVERAGE(ParseTime(RunTime1!F17),ParseTime(RunTime2!F17),ParseTime(RunTime3!F17),ParseTime(RunTime4!F17))
/
AVERAGE(ParseTime(RunTime1!I17),ParseTime(RunTime2!I17),ParseTime(RunTime3!I17),ParseTime(RunTime4!I17))</f>
        <v>1.8443183283890106</v>
      </c>
      <c r="Q17" s="4">
        <f>AVERAGE(ParseTime(RunTime1!H17),ParseTime(RunTime2!H17),ParseTime(RunTime3!H17),ParseTime(RunTime4!H17))
/
AVERAGE(ParseTime(RunTime1!J17),ParseTime(RunTime2!J17),ParseTime(RunTime3!J17),ParseTime(RunTime4!J17))</f>
        <v>0.93448157753094863</v>
      </c>
      <c r="R17" s="4">
        <f>AVERAGE(ParseTime(RunTime1!G17),ParseTime(RunTime2!G17),ParseTime(RunTime3!G17),ParseTime(RunTime4!G17))
/
AVERAGE(ParseTime(RunTime1!I17),ParseTime(RunTime2!I17),ParseTime(RunTime3!I17),ParseTime(RunTime4!I17))</f>
        <v>0.6551012511285953</v>
      </c>
      <c r="S17" s="4">
        <f>AVERAGE(ParseTime(RunTime1!H17),ParseTime(RunTime2!H17),ParseTime(RunTime3!H17),ParseTime(RunTime4!H17))
/
AVERAGE(ParseTime(RunTime1!I17),ParseTime(RunTime2!I17),ParseTime(RunTime3!I17),ParseTime(RunTime4!I17))</f>
        <v>1.2316522636398812</v>
      </c>
      <c r="T17" s="4">
        <f>AVERAGE(ParseTime(RunTime1!G17),ParseTime(RunTime2!G17),ParseTime(RunTime3!G17),ParseTime(RunTime4!G17))
/
AVERAGE(ParseTime(RunTime1!J17),ParseTime(RunTime2!J17),ParseTime(RunTime3!J17),ParseTime(RunTime4!J17))</f>
        <v>0.49703968292802264</v>
      </c>
      <c r="U17" t="s">
        <v>18</v>
      </c>
    </row>
    <row r="18" spans="1:21" x14ac:dyDescent="0.25">
      <c r="A18" t="s">
        <v>294</v>
      </c>
      <c r="B18" t="s">
        <v>114</v>
      </c>
      <c r="C18" t="s">
        <v>11</v>
      </c>
      <c r="D18" s="1">
        <v>176918</v>
      </c>
      <c r="E18">
        <v>2</v>
      </c>
      <c r="F18" t="s">
        <v>115</v>
      </c>
      <c r="G18" t="s">
        <v>116</v>
      </c>
      <c r="H18" t="s">
        <v>117</v>
      </c>
      <c r="I18" t="s">
        <v>980</v>
      </c>
      <c r="J18" t="s">
        <v>1025</v>
      </c>
      <c r="K18" t="s">
        <v>118</v>
      </c>
      <c r="L18" t="s">
        <v>119</v>
      </c>
      <c r="M18" t="s">
        <v>120</v>
      </c>
      <c r="N18" t="s">
        <v>43</v>
      </c>
      <c r="O18" s="4">
        <f>AVERAGE(ParseTime(RunTime1!F18),ParseTime(RunTime2!F18),ParseTime(RunTime3!F18),ParseTime(RunTime4!F18))
/
AVERAGE(ParseTime(RunTime1!J18),ParseTime(RunTime2!J18),ParseTime(RunTime3!J18),ParseTime(RunTime4!J18))</f>
        <v>124.01996173469387</v>
      </c>
      <c r="P18" s="4">
        <f>AVERAGE(ParseTime(RunTime1!F18),ParseTime(RunTime2!F18),ParseTime(RunTime3!F18),ParseTime(RunTime4!F18))
/
AVERAGE(ParseTime(RunTime1!I18),ParseTime(RunTime2!I18),ParseTime(RunTime3!I18),ParseTime(RunTime4!I18))</f>
        <v>121.13074623146879</v>
      </c>
      <c r="Q18" s="4">
        <f>AVERAGE(ParseTime(RunTime1!H18),ParseTime(RunTime2!H18),ParseTime(RunTime3!H18),ParseTime(RunTime4!H18))
/
AVERAGE(ParseTime(RunTime1!J18),ParseTime(RunTime2!J18),ParseTime(RunTime3!J18),ParseTime(RunTime4!J18))</f>
        <v>1.0300382653061224</v>
      </c>
      <c r="R18" s="4">
        <f>AVERAGE(ParseTime(RunTime1!G18),ParseTime(RunTime2!G18),ParseTime(RunTime3!G18),ParseTime(RunTime4!G18))
/
AVERAGE(ParseTime(RunTime1!I18),ParseTime(RunTime2!I18),ParseTime(RunTime3!I18),ParseTime(RunTime4!I18))</f>
        <v>0.8033511897346457</v>
      </c>
      <c r="S18" s="4">
        <f>AVERAGE(ParseTime(RunTime1!H18),ParseTime(RunTime2!H18),ParseTime(RunTime3!H18),ParseTime(RunTime4!H18))
/
AVERAGE(ParseTime(RunTime1!I18),ParseTime(RunTime2!I18),ParseTime(RunTime3!I18),ParseTime(RunTime4!I18))</f>
        <v>1.0060421078858852</v>
      </c>
      <c r="T18" s="4">
        <f>AVERAGE(ParseTime(RunTime1!G18),ParseTime(RunTime2!G18),ParseTime(RunTime3!G18),ParseTime(RunTime4!G18))
/
AVERAGE(ParseTime(RunTime1!J18),ParseTime(RunTime2!J18),ParseTime(RunTime3!J18),ParseTime(RunTime4!J18))</f>
        <v>0.8225127551020408</v>
      </c>
      <c r="U18" t="s">
        <v>18</v>
      </c>
    </row>
    <row r="19" spans="1:21" x14ac:dyDescent="0.25">
      <c r="A19" t="s">
        <v>294</v>
      </c>
      <c r="B19" t="s">
        <v>114</v>
      </c>
      <c r="C19" t="s">
        <v>19</v>
      </c>
      <c r="D19" s="1">
        <v>178143</v>
      </c>
      <c r="E19">
        <v>2</v>
      </c>
      <c r="F19" t="s">
        <v>121</v>
      </c>
      <c r="G19" t="s">
        <v>122</v>
      </c>
      <c r="H19" t="s">
        <v>123</v>
      </c>
      <c r="I19" t="s">
        <v>981</v>
      </c>
      <c r="J19" t="s">
        <v>1026</v>
      </c>
      <c r="K19" t="s">
        <v>124</v>
      </c>
      <c r="L19" t="s">
        <v>125</v>
      </c>
      <c r="M19" t="s">
        <v>126</v>
      </c>
      <c r="N19" t="s">
        <v>245</v>
      </c>
      <c r="O19" s="4">
        <f>AVERAGE(ParseTime(RunTime1!F19),ParseTime(RunTime2!F19),ParseTime(RunTime3!F19),ParseTime(RunTime4!F19))
/
AVERAGE(ParseTime(RunTime1!J19),ParseTime(RunTime2!J19),ParseTime(RunTime3!J19),ParseTime(RunTime4!J19))</f>
        <v>118.00855486019405</v>
      </c>
      <c r="P19" s="4">
        <f>AVERAGE(ParseTime(RunTime1!F19),ParseTime(RunTime2!F19),ParseTime(RunTime3!F19),ParseTime(RunTime4!F19))
/
AVERAGE(ParseTime(RunTime1!I19),ParseTime(RunTime2!I19),ParseTime(RunTime3!I19),ParseTime(RunTime4!I19))</f>
        <v>144.69236184442099</v>
      </c>
      <c r="Q19" s="4">
        <f>AVERAGE(ParseTime(RunTime1!H19),ParseTime(RunTime2!H19),ParseTime(RunTime3!H19),ParseTime(RunTime4!H19))
/
AVERAGE(ParseTime(RunTime1!J19),ParseTime(RunTime2!J19),ParseTime(RunTime3!J19),ParseTime(RunTime4!J19))</f>
        <v>1.1217775736349542</v>
      </c>
      <c r="R19" s="4">
        <f>AVERAGE(ParseTime(RunTime1!G19),ParseTime(RunTime2!G19),ParseTime(RunTime3!G19),ParseTime(RunTime4!G19))
/
AVERAGE(ParseTime(RunTime1!I19),ParseTime(RunTime2!I19),ParseTime(RunTime3!I19),ParseTime(RunTime4!I19))</f>
        <v>0.60774375219992949</v>
      </c>
      <c r="S19" s="4">
        <f>AVERAGE(ParseTime(RunTime1!H19),ParseTime(RunTime2!H19),ParseTime(RunTime3!H19),ParseTime(RunTime4!H19))
/
AVERAGE(ParseTime(RunTime1!I19),ParseTime(RunTime2!I19),ParseTime(RunTime3!I19),ParseTime(RunTime4!I19))</f>
        <v>1.3754311862020416</v>
      </c>
      <c r="T19" s="4">
        <f>AVERAGE(ParseTime(RunTime1!G19),ParseTime(RunTime2!G19),ParseTime(RunTime3!G19),ParseTime(RunTime4!G19))
/
AVERAGE(ParseTime(RunTime1!J19),ParseTime(RunTime2!J19),ParseTime(RunTime3!J19),ParseTime(RunTime4!J19))</f>
        <v>0.49566515473388062</v>
      </c>
      <c r="U19" t="s">
        <v>18</v>
      </c>
    </row>
    <row r="20" spans="1:21" x14ac:dyDescent="0.25">
      <c r="A20" t="s">
        <v>294</v>
      </c>
      <c r="B20" t="s">
        <v>127</v>
      </c>
      <c r="C20" t="s">
        <v>11</v>
      </c>
      <c r="D20" s="1">
        <v>209222</v>
      </c>
      <c r="E20">
        <v>2</v>
      </c>
      <c r="F20" t="s">
        <v>128</v>
      </c>
      <c r="G20" t="s">
        <v>129</v>
      </c>
      <c r="H20" t="s">
        <v>130</v>
      </c>
      <c r="I20" t="s">
        <v>982</v>
      </c>
      <c r="J20" t="s">
        <v>1027</v>
      </c>
      <c r="K20" t="s">
        <v>131</v>
      </c>
      <c r="L20" t="s">
        <v>132</v>
      </c>
      <c r="M20" t="s">
        <v>133</v>
      </c>
      <c r="N20" t="s">
        <v>594</v>
      </c>
      <c r="O20" s="4">
        <f>AVERAGE(ParseTime(RunTime1!F20),ParseTime(RunTime2!F20),ParseTime(RunTime3!F20),ParseTime(RunTime4!F20))
/
AVERAGE(ParseTime(RunTime1!J20),ParseTime(RunTime2!J20),ParseTime(RunTime3!J20),ParseTime(RunTime4!J20))</f>
        <v>1.5625599638805803</v>
      </c>
      <c r="P20" s="4">
        <f>AVERAGE(ParseTime(RunTime1!F20),ParseTime(RunTime2!F20),ParseTime(RunTime3!F20),ParseTime(RunTime4!F20))
/
AVERAGE(ParseTime(RunTime1!I20),ParseTime(RunTime2!I20),ParseTime(RunTime3!I20),ParseTime(RunTime4!I20))</f>
        <v>2.1104504916533271</v>
      </c>
      <c r="Q20" s="4">
        <f>AVERAGE(ParseTime(RunTime1!H20),ParseTime(RunTime2!H20),ParseTime(RunTime3!H20),ParseTime(RunTime4!H20))
/
AVERAGE(ParseTime(RunTime1!J20),ParseTime(RunTime2!J20),ParseTime(RunTime3!J20),ParseTime(RunTime4!J20))</f>
        <v>0.73102319543992345</v>
      </c>
      <c r="R20" s="4">
        <f>AVERAGE(ParseTime(RunTime1!G20),ParseTime(RunTime2!G20),ParseTime(RunTime3!G20),ParseTime(RunTime4!G20))
/
AVERAGE(ParseTime(RunTime1!I20),ParseTime(RunTime2!I20),ParseTime(RunTime3!I20),ParseTime(RunTime4!I20))</f>
        <v>0.90174555987499061</v>
      </c>
      <c r="S20" s="4">
        <f>AVERAGE(ParseTime(RunTime1!H20),ParseTime(RunTime2!H20),ParseTime(RunTime3!H20),ParseTime(RunTime4!H20))
/
AVERAGE(ParseTime(RunTime1!I20),ParseTime(RunTime2!I20),ParseTime(RunTime3!I20),ParseTime(RunTime4!I20))</f>
        <v>0.98734659653937051</v>
      </c>
      <c r="T20" s="4">
        <f>AVERAGE(ParseTime(RunTime1!G20),ParseTime(RunTime2!G20),ParseTime(RunTime3!G20),ParseTime(RunTime4!G20))
/
AVERAGE(ParseTime(RunTime1!J20),ParseTime(RunTime2!J20),ParseTime(RunTime3!J20),ParseTime(RunTime4!J20))</f>
        <v>0.6676449009537786</v>
      </c>
      <c r="U20" t="s">
        <v>18</v>
      </c>
    </row>
    <row r="21" spans="1:21" x14ac:dyDescent="0.25">
      <c r="A21" t="s">
        <v>294</v>
      </c>
      <c r="B21" t="s">
        <v>127</v>
      </c>
      <c r="C21" t="s">
        <v>19</v>
      </c>
      <c r="D21" s="1">
        <v>208613</v>
      </c>
      <c r="E21">
        <v>2</v>
      </c>
      <c r="F21" t="s">
        <v>134</v>
      </c>
      <c r="G21" t="s">
        <v>135</v>
      </c>
      <c r="H21" t="s">
        <v>136</v>
      </c>
      <c r="I21" t="s">
        <v>983</v>
      </c>
      <c r="J21" t="s">
        <v>1028</v>
      </c>
      <c r="K21" t="s">
        <v>86</v>
      </c>
      <c r="L21" t="s">
        <v>137</v>
      </c>
      <c r="M21" t="s">
        <v>138</v>
      </c>
      <c r="N21" t="s">
        <v>594</v>
      </c>
      <c r="O21" s="4">
        <f>AVERAGE(ParseTime(RunTime1!F21),ParseTime(RunTime2!F21),ParseTime(RunTime3!F21),ParseTime(RunTime4!F21))
/
AVERAGE(ParseTime(RunTime1!J21),ParseTime(RunTime2!J21),ParseTime(RunTime3!J21),ParseTime(RunTime4!J21))</f>
        <v>1.8814771735969757</v>
      </c>
      <c r="P21" s="4">
        <f>AVERAGE(ParseTime(RunTime1!F21),ParseTime(RunTime2!F21),ParseTime(RunTime3!F21),ParseTime(RunTime4!F21))
/
AVERAGE(ParseTime(RunTime1!I21),ParseTime(RunTime2!I21),ParseTime(RunTime3!I21),ParseTime(RunTime4!I21))</f>
        <v>2.4943716268311489</v>
      </c>
      <c r="Q21" s="4">
        <f>AVERAGE(ParseTime(RunTime1!H21),ParseTime(RunTime2!H21),ParseTime(RunTime3!H21),ParseTime(RunTime4!H21))
/
AVERAGE(ParseTime(RunTime1!J21),ParseTime(RunTime2!J21),ParseTime(RunTime3!J21),ParseTime(RunTime4!J21))</f>
        <v>1.0070950857807501</v>
      </c>
      <c r="R21" s="4">
        <f>AVERAGE(ParseTime(RunTime1!G21),ParseTime(RunTime2!G21),ParseTime(RunTime3!G21),ParseTime(RunTime4!G21))
/
AVERAGE(ParseTime(RunTime1!I21),ParseTime(RunTime2!I21),ParseTime(RunTime3!I21),ParseTime(RunTime4!I21))</f>
        <v>0.68727833461835008</v>
      </c>
      <c r="S21" s="4">
        <f>AVERAGE(ParseTime(RunTime1!H21),ParseTime(RunTime2!H21),ParseTime(RunTime3!H21),ParseTime(RunTime4!H21))
/
AVERAGE(ParseTime(RunTime1!I21),ParseTime(RunTime2!I21),ParseTime(RunTime3!I21),ParseTime(RunTime4!I21))</f>
        <v>1.3351580570547419</v>
      </c>
      <c r="T21" s="4">
        <f>AVERAGE(ParseTime(RunTime1!G21),ParseTime(RunTime2!G21),ParseTime(RunTime3!G21),ParseTime(RunTime4!G21))
/
AVERAGE(ParseTime(RunTime1!J21),ParseTime(RunTime2!J21),ParseTime(RunTime3!J21),ParseTime(RunTime4!J21))</f>
        <v>0.51840651352137246</v>
      </c>
      <c r="U21" t="s">
        <v>18</v>
      </c>
    </row>
    <row r="22" spans="1:21" x14ac:dyDescent="0.25">
      <c r="A22" t="s">
        <v>294</v>
      </c>
      <c r="B22" t="s">
        <v>139</v>
      </c>
      <c r="C22" t="s">
        <v>11</v>
      </c>
      <c r="D22" s="1">
        <v>211435</v>
      </c>
      <c r="E22">
        <v>2</v>
      </c>
      <c r="F22" t="s">
        <v>140</v>
      </c>
      <c r="G22" t="s">
        <v>141</v>
      </c>
      <c r="H22" t="s">
        <v>142</v>
      </c>
      <c r="I22" t="s">
        <v>984</v>
      </c>
      <c r="J22" t="s">
        <v>1029</v>
      </c>
      <c r="K22" t="s">
        <v>143</v>
      </c>
      <c r="L22" t="s">
        <v>112</v>
      </c>
      <c r="M22" t="s">
        <v>144</v>
      </c>
      <c r="N22" t="s">
        <v>124</v>
      </c>
      <c r="O22" s="4">
        <f>AVERAGE(ParseTime(RunTime1!F22),ParseTime(RunTime2!F22),ParseTime(RunTime3!F22),ParseTime(RunTime4!F22))
/
AVERAGE(ParseTime(RunTime1!J22),ParseTime(RunTime2!J22),ParseTime(RunTime3!J22),ParseTime(RunTime4!J22))</f>
        <v>1.8013790685443813</v>
      </c>
      <c r="P22" s="4">
        <f>AVERAGE(ParseTime(RunTime1!F22),ParseTime(RunTime2!F22),ParseTime(RunTime3!F22),ParseTime(RunTime4!F22))
/
AVERAGE(ParseTime(RunTime1!I22),ParseTime(RunTime2!I22),ParseTime(RunTime3!I22),ParseTime(RunTime4!I22))</f>
        <v>2.3766093593400663</v>
      </c>
      <c r="Q22" s="4">
        <f>AVERAGE(ParseTime(RunTime1!H22),ParseTime(RunTime2!H22),ParseTime(RunTime3!H22),ParseTime(RunTime4!H22))
/
AVERAGE(ParseTime(RunTime1!J22),ParseTime(RunTime2!J22),ParseTime(RunTime3!J22),ParseTime(RunTime4!J22))</f>
        <v>0.75679308128323497</v>
      </c>
      <c r="R22" s="4">
        <f>AVERAGE(ParseTime(RunTime1!G22),ParseTime(RunTime2!G22),ParseTime(RunTime3!G22),ParseTime(RunTime4!G22))
/
AVERAGE(ParseTime(RunTime1!I22),ParseTime(RunTime2!I22),ParseTime(RunTime3!I22),ParseTime(RunTime4!I22))</f>
        <v>0.88875183100763244</v>
      </c>
      <c r="S22" s="4">
        <f>AVERAGE(ParseTime(RunTime1!H22),ParseTime(RunTime2!H22),ParseTime(RunTime3!H22),ParseTime(RunTime4!H22))
/
AVERAGE(ParseTime(RunTime1!I22),ParseTime(RunTime2!I22),ParseTime(RunTime3!I22),ParseTime(RunTime4!I22))</f>
        <v>0.99845809883586467</v>
      </c>
      <c r="T22" s="4">
        <f>AVERAGE(ParseTime(RunTime1!G22),ParseTime(RunTime2!G22),ParseTime(RunTime3!G22),ParseTime(RunTime4!G22))
/
AVERAGE(ParseTime(RunTime1!J22),ParseTime(RunTime2!J22),ParseTime(RunTime3!J22),ParseTime(RunTime4!J22))</f>
        <v>0.67363992286565777</v>
      </c>
      <c r="U22" t="s">
        <v>18</v>
      </c>
    </row>
    <row r="23" spans="1:21" x14ac:dyDescent="0.25">
      <c r="A23" t="s">
        <v>294</v>
      </c>
      <c r="B23" t="s">
        <v>139</v>
      </c>
      <c r="C23" t="s">
        <v>19</v>
      </c>
      <c r="D23" s="1">
        <v>207634</v>
      </c>
      <c r="E23">
        <v>2</v>
      </c>
      <c r="F23" t="s">
        <v>145</v>
      </c>
      <c r="G23" t="s">
        <v>146</v>
      </c>
      <c r="H23" t="s">
        <v>147</v>
      </c>
      <c r="I23" t="s">
        <v>985</v>
      </c>
      <c r="J23" t="s">
        <v>1030</v>
      </c>
      <c r="K23" t="s">
        <v>148</v>
      </c>
      <c r="L23" t="s">
        <v>88</v>
      </c>
      <c r="M23" t="s">
        <v>149</v>
      </c>
      <c r="N23" t="s">
        <v>124</v>
      </c>
      <c r="O23" s="4">
        <f>AVERAGE(ParseTime(RunTime1!F23),ParseTime(RunTime2!F23),ParseTime(RunTime3!F23),ParseTime(RunTime4!F23))
/
AVERAGE(ParseTime(RunTime1!J23),ParseTime(RunTime2!J23),ParseTime(RunTime3!J23),ParseTime(RunTime4!J23))</f>
        <v>1.5247655610799928</v>
      </c>
      <c r="P23" s="4">
        <f>AVERAGE(ParseTime(RunTime1!F23),ParseTime(RunTime2!F23),ParseTime(RunTime3!F23),ParseTime(RunTime4!F23))
/
AVERAGE(ParseTime(RunTime1!I23),ParseTime(RunTime2!I23),ParseTime(RunTime3!I23),ParseTime(RunTime4!I23))</f>
        <v>1.8669183940818372</v>
      </c>
      <c r="Q23" s="4">
        <f>AVERAGE(ParseTime(RunTime1!H23),ParseTime(RunTime2!H23),ParseTime(RunTime3!H23),ParseTime(RunTime4!H23))
/
AVERAGE(ParseTime(RunTime1!J23),ParseTime(RunTime2!J23),ParseTime(RunTime3!J23),ParseTime(RunTime4!J23))</f>
        <v>0.92510541884322484</v>
      </c>
      <c r="R23" s="4">
        <f>AVERAGE(ParseTime(RunTime1!G23),ParseTime(RunTime2!G23),ParseTime(RunTime3!G23),ParseTime(RunTime4!G23))
/
AVERAGE(ParseTime(RunTime1!I23),ParseTime(RunTime2!I23),ParseTime(RunTime3!I23),ParseTime(RunTime4!I23))</f>
        <v>0.96886799722586114</v>
      </c>
      <c r="S23" s="4">
        <f>AVERAGE(ParseTime(RunTime1!H23),ParseTime(RunTime2!H23),ParseTime(RunTime3!H23),ParseTime(RunTime4!H23))
/
AVERAGE(ParseTime(RunTime1!I23),ParseTime(RunTime2!I23),ParseTime(RunTime3!I23),ParseTime(RunTime4!I23))</f>
        <v>1.1326963088541264</v>
      </c>
      <c r="T23" s="4">
        <f>AVERAGE(ParseTime(RunTime1!G23),ParseTime(RunTime2!G23),ParseTime(RunTime3!G23),ParseTime(RunTime4!G23))
/
AVERAGE(ParseTime(RunTime1!J23),ParseTime(RunTime2!J23),ParseTime(RunTime3!J23),ParseTime(RunTime4!J23))</f>
        <v>0.79130215872616283</v>
      </c>
      <c r="U23" t="s">
        <v>18</v>
      </c>
    </row>
    <row r="24" spans="1:21" x14ac:dyDescent="0.25">
      <c r="A24" t="s">
        <v>294</v>
      </c>
      <c r="B24" t="s">
        <v>150</v>
      </c>
      <c r="C24" t="s">
        <v>11</v>
      </c>
      <c r="D24" s="1">
        <v>193899</v>
      </c>
      <c r="E24">
        <v>2</v>
      </c>
      <c r="F24" t="s">
        <v>151</v>
      </c>
      <c r="G24" t="s">
        <v>152</v>
      </c>
      <c r="H24" t="s">
        <v>153</v>
      </c>
      <c r="I24" t="s">
        <v>986</v>
      </c>
      <c r="J24" t="s">
        <v>1031</v>
      </c>
      <c r="K24" t="s">
        <v>154</v>
      </c>
      <c r="L24" t="s">
        <v>155</v>
      </c>
      <c r="M24" t="s">
        <v>75</v>
      </c>
      <c r="N24" t="s">
        <v>558</v>
      </c>
      <c r="O24" s="4">
        <f>AVERAGE(ParseTime(RunTime1!F24),ParseTime(RunTime2!F24),ParseTime(RunTime3!F24),ParseTime(RunTime4!F24))
/
AVERAGE(ParseTime(RunTime1!J24),ParseTime(RunTime2!J24),ParseTime(RunTime3!J24),ParseTime(RunTime4!J24))</f>
        <v>1.8694225721784781</v>
      </c>
      <c r="P24" s="4">
        <f>AVERAGE(ParseTime(RunTime1!F24),ParseTime(RunTime2!F24),ParseTime(RunTime3!F24),ParseTime(RunTime4!F24))
/
AVERAGE(ParseTime(RunTime1!I24),ParseTime(RunTime2!I24),ParseTime(RunTime3!I24),ParseTime(RunTime4!I24))</f>
        <v>2.2584225128814901</v>
      </c>
      <c r="Q24" s="4">
        <f>AVERAGE(ParseTime(RunTime1!H24),ParseTime(RunTime2!H24),ParseTime(RunTime3!H24),ParseTime(RunTime4!H24))
/
AVERAGE(ParseTime(RunTime1!J24),ParseTime(RunTime2!J24),ParseTime(RunTime3!J24),ParseTime(RunTime4!J24))</f>
        <v>0.64796587926509197</v>
      </c>
      <c r="R24" s="4">
        <f>AVERAGE(ParseTime(RunTime1!G24),ParseTime(RunTime2!G24),ParseTime(RunTime3!G24),ParseTime(RunTime4!G24))
/
AVERAGE(ParseTime(RunTime1!I24),ParseTime(RunTime2!I24),ParseTime(RunTime3!I24),ParseTime(RunTime4!I24))</f>
        <v>0.87665477606024556</v>
      </c>
      <c r="S24" s="4">
        <f>AVERAGE(ParseTime(RunTime1!H24),ParseTime(RunTime2!H24),ParseTime(RunTime3!H24),ParseTime(RunTime4!H24))
/
AVERAGE(ParseTime(RunTime1!I24),ParseTime(RunTime2!I24),ParseTime(RunTime3!I24),ParseTime(RunTime4!I24))</f>
        <v>0.78279825604439146</v>
      </c>
      <c r="T24" s="4">
        <f>AVERAGE(ParseTime(RunTime1!G24),ParseTime(RunTime2!G24),ParseTime(RunTime3!G24),ParseTime(RunTime4!G24))
/
AVERAGE(ParseTime(RunTime1!J24),ParseTime(RunTime2!J24),ParseTime(RunTime3!J24),ParseTime(RunTime4!J24))</f>
        <v>0.72565616797900268</v>
      </c>
      <c r="U24" t="s">
        <v>296</v>
      </c>
    </row>
    <row r="25" spans="1:21" x14ac:dyDescent="0.25">
      <c r="A25" t="s">
        <v>294</v>
      </c>
      <c r="B25" t="s">
        <v>150</v>
      </c>
      <c r="C25" t="s">
        <v>19</v>
      </c>
      <c r="D25" s="1">
        <v>191991</v>
      </c>
      <c r="E25">
        <v>2</v>
      </c>
      <c r="F25" t="s">
        <v>156</v>
      </c>
      <c r="G25" t="s">
        <v>157</v>
      </c>
      <c r="H25" t="s">
        <v>158</v>
      </c>
      <c r="I25" t="s">
        <v>987</v>
      </c>
      <c r="J25" t="s">
        <v>1032</v>
      </c>
      <c r="K25" t="s">
        <v>159</v>
      </c>
      <c r="L25" t="s">
        <v>160</v>
      </c>
      <c r="M25" t="s">
        <v>161</v>
      </c>
      <c r="N25" t="s">
        <v>124</v>
      </c>
      <c r="O25" s="4">
        <f>AVERAGE(ParseTime(RunTime1!F25),ParseTime(RunTime2!F25),ParseTime(RunTime3!F25),ParseTime(RunTime4!F25))
/
AVERAGE(ParseTime(RunTime1!J25),ParseTime(RunTime2!J25),ParseTime(RunTime3!J25),ParseTime(RunTime4!J25))</f>
        <v>1.2797565374211</v>
      </c>
      <c r="P25" s="4">
        <f>AVERAGE(ParseTime(RunTime1!F25),ParseTime(RunTime2!F25),ParseTime(RunTime3!F25),ParseTime(RunTime4!F25))
/
AVERAGE(ParseTime(RunTime1!I25),ParseTime(RunTime2!I25),ParseTime(RunTime3!I25),ParseTime(RunTime4!I25))</f>
        <v>1.6999550830962717</v>
      </c>
      <c r="Q25" s="4">
        <f>AVERAGE(ParseTime(RunTime1!H25),ParseTime(RunTime2!H25),ParseTime(RunTime3!H25),ParseTime(RunTime4!H25))
/
AVERAGE(ParseTime(RunTime1!J25),ParseTime(RunTime2!J25),ParseTime(RunTime3!J25),ParseTime(RunTime4!J25))</f>
        <v>0.81762849413886385</v>
      </c>
      <c r="R25" s="4">
        <f>AVERAGE(ParseTime(RunTime1!G25),ParseTime(RunTime2!G25),ParseTime(RunTime3!G25),ParseTime(RunTime4!G25))
/
AVERAGE(ParseTime(RunTime1!I25),ParseTime(RunTime2!I25),ParseTime(RunTime3!I25),ParseTime(RunTime4!I25))</f>
        <v>0.70811498727354405</v>
      </c>
      <c r="S25" s="4">
        <f>AVERAGE(ParseTime(RunTime1!H25),ParseTime(RunTime2!H25),ParseTime(RunTime3!H25),ParseTime(RunTime4!H25))
/
AVERAGE(ParseTime(RunTime1!I25),ParseTime(RunTime2!I25),ParseTime(RunTime3!I25),ParseTime(RunTime4!I25))</f>
        <v>1.0860907321455309</v>
      </c>
      <c r="T25" s="4">
        <f>AVERAGE(ParseTime(RunTime1!G25),ParseTime(RunTime2!G25),ParseTime(RunTime3!G25),ParseTime(RunTime4!G25))
/
AVERAGE(ParseTime(RunTime1!J25),ParseTime(RunTime2!J25),ParseTime(RunTime3!J25),ParseTime(RunTime4!J25))</f>
        <v>0.53308160504959434</v>
      </c>
      <c r="U25" t="s">
        <v>18</v>
      </c>
    </row>
    <row r="26" spans="1:21" x14ac:dyDescent="0.25">
      <c r="A26" t="s">
        <v>294</v>
      </c>
      <c r="B26" t="s">
        <v>162</v>
      </c>
      <c r="C26" t="s">
        <v>11</v>
      </c>
      <c r="D26" s="1">
        <v>159967</v>
      </c>
      <c r="E26">
        <v>2</v>
      </c>
      <c r="F26" t="s">
        <v>163</v>
      </c>
      <c r="G26" t="s">
        <v>164</v>
      </c>
      <c r="H26" t="s">
        <v>165</v>
      </c>
      <c r="I26" t="s">
        <v>988</v>
      </c>
      <c r="J26" t="s">
        <v>1033</v>
      </c>
      <c r="K26" t="s">
        <v>166</v>
      </c>
      <c r="L26" t="s">
        <v>167</v>
      </c>
      <c r="M26" t="s">
        <v>168</v>
      </c>
      <c r="N26" t="s">
        <v>558</v>
      </c>
      <c r="O26" s="4">
        <f>AVERAGE(ParseTime(RunTime1!F26),ParseTime(RunTime2!F26),ParseTime(RunTime3!F26),ParseTime(RunTime4!F26))
/
AVERAGE(ParseTime(RunTime1!J26),ParseTime(RunTime2!J26),ParseTime(RunTime3!J26),ParseTime(RunTime4!J26))</f>
        <v>162.23421854592948</v>
      </c>
      <c r="P26" s="4">
        <f>AVERAGE(ParseTime(RunTime1!F26),ParseTime(RunTime2!F26),ParseTime(RunTime3!F26),ParseTime(RunTime4!F26))
/
AVERAGE(ParseTime(RunTime1!I26),ParseTime(RunTime2!I26),ParseTime(RunTime3!I26),ParseTime(RunTime4!I26))</f>
        <v>190.56609562771672</v>
      </c>
      <c r="Q26" s="4">
        <f>AVERAGE(ParseTime(RunTime1!H26),ParseTime(RunTime2!H26),ParseTime(RunTime3!H26),ParseTime(RunTime4!H26))
/
AVERAGE(ParseTime(RunTime1!J26),ParseTime(RunTime2!J26),ParseTime(RunTime3!J26),ParseTime(RunTime4!J26))</f>
        <v>0.9254099550137862</v>
      </c>
      <c r="R26" s="4">
        <f>AVERAGE(ParseTime(RunTime1!G26),ParseTime(RunTime2!G26),ParseTime(RunTime3!G26),ParseTime(RunTime4!G26))
/
AVERAGE(ParseTime(RunTime1!I26),ParseTime(RunTime2!I26),ParseTime(RunTime3!I26),ParseTime(RunTime4!I26))</f>
        <v>0.75087360436376038</v>
      </c>
      <c r="S26" s="4">
        <f>AVERAGE(ParseTime(RunTime1!H26),ParseTime(RunTime2!H26),ParseTime(RunTime3!H26),ParseTime(RunTime4!H26))
/
AVERAGE(ParseTime(RunTime1!I26),ParseTime(RunTime2!I26),ParseTime(RunTime3!I26),ParseTime(RunTime4!I26))</f>
        <v>1.087019517599932</v>
      </c>
      <c r="T26" s="4">
        <f>AVERAGE(ParseTime(RunTime1!G26),ParseTime(RunTime2!G26),ParseTime(RunTime3!G26),ParseTime(RunTime4!G26))
/
AVERAGE(ParseTime(RunTime1!J26),ParseTime(RunTime2!J26),ParseTime(RunTime3!J26),ParseTime(RunTime4!J26))</f>
        <v>0.63923958786823398</v>
      </c>
      <c r="U26" t="s">
        <v>18</v>
      </c>
    </row>
    <row r="27" spans="1:21" x14ac:dyDescent="0.25">
      <c r="A27" t="s">
        <v>294</v>
      </c>
      <c r="B27" t="s">
        <v>162</v>
      </c>
      <c r="C27" t="s">
        <v>19</v>
      </c>
      <c r="D27" s="1">
        <v>159427</v>
      </c>
      <c r="E27">
        <v>2</v>
      </c>
      <c r="F27" t="s">
        <v>169</v>
      </c>
      <c r="G27" t="s">
        <v>170</v>
      </c>
      <c r="H27" t="s">
        <v>171</v>
      </c>
      <c r="I27" t="s">
        <v>989</v>
      </c>
      <c r="J27" t="s">
        <v>1034</v>
      </c>
      <c r="K27" t="s">
        <v>124</v>
      </c>
      <c r="L27" t="s">
        <v>172</v>
      </c>
      <c r="M27" t="s">
        <v>173</v>
      </c>
      <c r="N27" t="s">
        <v>43</v>
      </c>
      <c r="O27" s="4">
        <f>AVERAGE(ParseTime(RunTime1!F27),ParseTime(RunTime2!F27),ParseTime(RunTime3!F27),ParseTime(RunTime4!F27))
/
AVERAGE(ParseTime(RunTime1!J27),ParseTime(RunTime2!J27),ParseTime(RunTime3!J27),ParseTime(RunTime4!J27))</f>
        <v>186.04765419947506</v>
      </c>
      <c r="P27" s="4">
        <f>AVERAGE(ParseTime(RunTime1!F27),ParseTime(RunTime2!F27),ParseTime(RunTime3!F27),ParseTime(RunTime4!F27))
/
AVERAGE(ParseTime(RunTime1!I27),ParseTime(RunTime2!I27),ParseTime(RunTime3!I27),ParseTime(RunTime4!I27))</f>
        <v>191.01414736842105</v>
      </c>
      <c r="Q27" s="4">
        <f>AVERAGE(ParseTime(RunTime1!H27),ParseTime(RunTime2!H27),ParseTime(RunTime3!H27),ParseTime(RunTime4!H27))
/
AVERAGE(ParseTime(RunTime1!J27),ParseTime(RunTime2!J27),ParseTime(RunTime3!J27),ParseTime(RunTime4!J27))</f>
        <v>1.3914041994750654</v>
      </c>
      <c r="R27" s="4">
        <f>AVERAGE(ParseTime(RunTime1!G27),ParseTime(RunTime2!G27),ParseTime(RunTime3!G27),ParseTime(RunTime4!G27))
/
AVERAGE(ParseTime(RunTime1!I27),ParseTime(RunTime2!I27),ParseTime(RunTime3!I27),ParseTime(RunTime4!I27))</f>
        <v>0.6266947368421053</v>
      </c>
      <c r="S27" s="4">
        <f>AVERAGE(ParseTime(RunTime1!H27),ParseTime(RunTime2!H27),ParseTime(RunTime3!H27),ParseTime(RunTime4!H27))
/
AVERAGE(ParseTime(RunTime1!I27),ParseTime(RunTime2!I27),ParseTime(RunTime3!I27),ParseTime(RunTime4!I27))</f>
        <v>1.4285473684210526</v>
      </c>
      <c r="T27" s="4">
        <f>AVERAGE(ParseTime(RunTime1!G27),ParseTime(RunTime2!G27),ParseTime(RunTime3!G27),ParseTime(RunTime4!G27))
/
AVERAGE(ParseTime(RunTime1!J27),ParseTime(RunTime2!J27),ParseTime(RunTime3!J27),ParseTime(RunTime4!J27))</f>
        <v>0.61040026246719159</v>
      </c>
      <c r="U27" t="s">
        <v>18</v>
      </c>
    </row>
    <row r="28" spans="1:21" x14ac:dyDescent="0.25">
      <c r="A28" t="s">
        <v>294</v>
      </c>
      <c r="B28" t="s">
        <v>174</v>
      </c>
      <c r="C28" t="s">
        <v>11</v>
      </c>
      <c r="D28" s="1">
        <v>128463</v>
      </c>
      <c r="E28">
        <v>2</v>
      </c>
      <c r="F28" t="s">
        <v>175</v>
      </c>
      <c r="G28" t="s">
        <v>176</v>
      </c>
      <c r="H28" t="s">
        <v>177</v>
      </c>
      <c r="I28" t="s">
        <v>990</v>
      </c>
      <c r="J28" t="s">
        <v>1035</v>
      </c>
      <c r="K28" t="s">
        <v>178</v>
      </c>
      <c r="L28" t="s">
        <v>179</v>
      </c>
      <c r="M28" t="s">
        <v>180</v>
      </c>
      <c r="N28" t="s">
        <v>131</v>
      </c>
      <c r="O28" s="4">
        <f>AVERAGE(ParseTime(RunTime1!F28),ParseTime(RunTime2!F28),ParseTime(RunTime3!F28),ParseTime(RunTime4!F28))
/
AVERAGE(ParseTime(RunTime1!J28),ParseTime(RunTime2!J28),ParseTime(RunTime3!J28),ParseTime(RunTime4!J28))</f>
        <v>191.62394833007565</v>
      </c>
      <c r="P28" s="4">
        <f>AVERAGE(ParseTime(RunTime1!F28),ParseTime(RunTime2!F28),ParseTime(RunTime3!F28),ParseTime(RunTime4!F28))
/
AVERAGE(ParseTime(RunTime1!I28),ParseTime(RunTime2!I28),ParseTime(RunTime3!I28),ParseTime(RunTime4!I28))</f>
        <v>169.70264167983746</v>
      </c>
      <c r="Q28" s="4">
        <f>AVERAGE(ParseTime(RunTime1!H28),ParseTime(RunTime2!H28),ParseTime(RunTime3!H28),ParseTime(RunTime4!H28))
/
AVERAGE(ParseTime(RunTime1!J28),ParseTime(RunTime2!J28),ParseTime(RunTime3!J28),ParseTime(RunTime4!J28))</f>
        <v>0.97441998810232022</v>
      </c>
      <c r="R28" s="4">
        <f>AVERAGE(ParseTime(RunTime1!G28),ParseTime(RunTime2!G28),ParseTime(RunTime3!G28),ParseTime(RunTime4!G28))
/
AVERAGE(ParseTime(RunTime1!I28),ParseTime(RunTime2!I28),ParseTime(RunTime3!I28),ParseTime(RunTime4!I28))</f>
        <v>0.70512531045382709</v>
      </c>
      <c r="S28" s="4">
        <f>AVERAGE(ParseTime(RunTime1!H28),ParseTime(RunTime2!H28),ParseTime(RunTime3!H28),ParseTime(RunTime4!H28))
/
AVERAGE(ParseTime(RunTime1!I28),ParseTime(RunTime2!I28),ParseTime(RunTime3!I28),ParseTime(RunTime4!I28))</f>
        <v>0.86294874689546186</v>
      </c>
      <c r="T28" s="4">
        <f>AVERAGE(ParseTime(RunTime1!G28),ParseTime(RunTime2!G28),ParseTime(RunTime3!G28),ParseTime(RunTime4!G28))
/
AVERAGE(ParseTime(RunTime1!J28),ParseTime(RunTime2!J28),ParseTime(RunTime3!J28),ParseTime(RunTime4!J28))</f>
        <v>0.79620973910087534</v>
      </c>
      <c r="U28" t="s">
        <v>18</v>
      </c>
    </row>
    <row r="29" spans="1:21" x14ac:dyDescent="0.25">
      <c r="A29" t="s">
        <v>294</v>
      </c>
      <c r="B29" t="s">
        <v>174</v>
      </c>
      <c r="C29" t="s">
        <v>19</v>
      </c>
      <c r="D29" s="1">
        <v>128992</v>
      </c>
      <c r="E29">
        <v>2</v>
      </c>
      <c r="F29" t="s">
        <v>181</v>
      </c>
      <c r="G29" t="s">
        <v>182</v>
      </c>
      <c r="H29" t="s">
        <v>183</v>
      </c>
      <c r="I29" t="s">
        <v>991</v>
      </c>
      <c r="J29" t="s">
        <v>1036</v>
      </c>
      <c r="K29" t="s">
        <v>184</v>
      </c>
      <c r="L29" t="s">
        <v>185</v>
      </c>
      <c r="M29" t="s">
        <v>186</v>
      </c>
      <c r="N29" t="s">
        <v>268</v>
      </c>
      <c r="O29" s="4">
        <f>AVERAGE(ParseTime(RunTime1!F29),ParseTime(RunTime2!F29),ParseTime(RunTime3!F29),ParseTime(RunTime4!F29))
/
AVERAGE(ParseTime(RunTime1!J29),ParseTime(RunTime2!J29),ParseTime(RunTime3!J29),ParseTime(RunTime4!J29))</f>
        <v>156.05231484647473</v>
      </c>
      <c r="P29" s="4">
        <f>AVERAGE(ParseTime(RunTime1!F29),ParseTime(RunTime2!F29),ParseTime(RunTime3!F29),ParseTime(RunTime4!F29))
/
AVERAGE(ParseTime(RunTime1!I29),ParseTime(RunTime2!I29),ParseTime(RunTime3!I29),ParseTime(RunTime4!I29))</f>
        <v>190.16274999999999</v>
      </c>
      <c r="Q29" s="4">
        <f>AVERAGE(ParseTime(RunTime1!H29),ParseTime(RunTime2!H29),ParseTime(RunTime3!H29),ParseTime(RunTime4!H29))
/
AVERAGE(ParseTime(RunTime1!J29),ParseTime(RunTime2!J29),ParseTime(RunTime3!J29),ParseTime(RunTime4!J29))</f>
        <v>0.48061273336524646</v>
      </c>
      <c r="R29" s="4">
        <f>AVERAGE(ParseTime(RunTime1!G29),ParseTime(RunTime2!G29),ParseTime(RunTime3!G29),ParseTime(RunTime4!G29))
/
AVERAGE(ParseTime(RunTime1!I29),ParseTime(RunTime2!I29),ParseTime(RunTime3!I29),ParseTime(RunTime4!I29))</f>
        <v>0.87608333333333333</v>
      </c>
      <c r="S29" s="4">
        <f>AVERAGE(ParseTime(RunTime1!H29),ParseTime(RunTime2!H29),ParseTime(RunTime3!H29),ParseTime(RunTime4!H29))
/
AVERAGE(ParseTime(RunTime1!I29),ParseTime(RunTime2!I29),ParseTime(RunTime3!I29),ParseTime(RunTime4!I29))</f>
        <v>0.58566666666666667</v>
      </c>
      <c r="T29" s="4">
        <f>AVERAGE(ParseTime(RunTime1!G29),ParseTime(RunTime2!G29),ParseTime(RunTime3!G29),ParseTime(RunTime4!G29))
/
AVERAGE(ParseTime(RunTime1!J29),ParseTime(RunTime2!J29),ParseTime(RunTime3!J29),ParseTime(RunTime4!J29))</f>
        <v>0.71893592286124597</v>
      </c>
      <c r="U29" t="s">
        <v>18</v>
      </c>
    </row>
    <row r="30" spans="1:21" x14ac:dyDescent="0.25">
      <c r="A30" t="s">
        <v>294</v>
      </c>
      <c r="B30" t="s">
        <v>187</v>
      </c>
      <c r="C30" t="s">
        <v>11</v>
      </c>
      <c r="D30" s="1">
        <v>123182</v>
      </c>
      <c r="E30">
        <v>2</v>
      </c>
      <c r="F30" t="s">
        <v>188</v>
      </c>
      <c r="G30" t="s">
        <v>189</v>
      </c>
      <c r="H30" t="s">
        <v>190</v>
      </c>
      <c r="I30" t="s">
        <v>992</v>
      </c>
      <c r="J30" t="s">
        <v>1037</v>
      </c>
      <c r="K30" t="s">
        <v>191</v>
      </c>
      <c r="L30" t="s">
        <v>192</v>
      </c>
      <c r="M30" t="s">
        <v>193</v>
      </c>
      <c r="N30" t="s">
        <v>131</v>
      </c>
      <c r="O30" s="4">
        <f>AVERAGE(ParseTime(RunTime1!F30),ParseTime(RunTime2!F30),ParseTime(RunTime3!F30),ParseTime(RunTime4!F30))
/
AVERAGE(ParseTime(RunTime1!J30),ParseTime(RunTime2!J30),ParseTime(RunTime3!J30),ParseTime(RunTime4!J30))</f>
        <v>218.40197986293259</v>
      </c>
      <c r="P30" s="4">
        <f>AVERAGE(ParseTime(RunTime1!F30),ParseTime(RunTime2!F30),ParseTime(RunTime3!F30),ParseTime(RunTime4!F30))
/
AVERAGE(ParseTime(RunTime1!I30),ParseTime(RunTime2!I30),ParseTime(RunTime3!I30),ParseTime(RunTime4!I30))</f>
        <v>234.7270164590343</v>
      </c>
      <c r="Q30" s="4">
        <f>AVERAGE(ParseTime(RunTime1!H30),ParseTime(RunTime2!H30),ParseTime(RunTime3!H30),ParseTime(RunTime4!H30))
/
AVERAGE(ParseTime(RunTime1!J30),ParseTime(RunTime2!J30),ParseTime(RunTime3!J30),ParseTime(RunTime4!J30))</f>
        <v>0.64210170065149341</v>
      </c>
      <c r="R30" s="4">
        <f>AVERAGE(ParseTime(RunTime1!G30),ParseTime(RunTime2!G30),ParseTime(RunTime3!G30),ParseTime(RunTime4!G30))
/
AVERAGE(ParseTime(RunTime1!I30),ParseTime(RunTime2!I30),ParseTime(RunTime3!I30),ParseTime(RunTime4!I30))</f>
        <v>1.0204601254887697</v>
      </c>
      <c r="S30" s="4">
        <f>AVERAGE(ParseTime(RunTime1!H30),ParseTime(RunTime2!H30),ParseTime(RunTime3!H30),ParseTime(RunTime4!H30))
/
AVERAGE(ParseTime(RunTime1!I30),ParseTime(RunTime2!I30),ParseTime(RunTime3!I30),ParseTime(RunTime4!I30))</f>
        <v>0.69009729926343555</v>
      </c>
      <c r="T30" s="4">
        <f>AVERAGE(ParseTime(RunTime1!G30),ParseTime(RunTime2!G30),ParseTime(RunTime3!G30),ParseTime(RunTime4!G30))
/
AVERAGE(ParseTime(RunTime1!J30),ParseTime(RunTime2!J30),ParseTime(RunTime3!J30),ParseTime(RunTime4!J30))</f>
        <v>0.94948811236145203</v>
      </c>
      <c r="U30" t="s">
        <v>18</v>
      </c>
    </row>
    <row r="31" spans="1:21" x14ac:dyDescent="0.25">
      <c r="A31" t="s">
        <v>294</v>
      </c>
      <c r="B31" t="s">
        <v>187</v>
      </c>
      <c r="C31" t="s">
        <v>19</v>
      </c>
      <c r="D31" s="1">
        <v>117982</v>
      </c>
      <c r="E31">
        <v>2</v>
      </c>
      <c r="F31" t="s">
        <v>194</v>
      </c>
      <c r="G31" t="s">
        <v>195</v>
      </c>
      <c r="H31" t="s">
        <v>196</v>
      </c>
      <c r="I31" t="s">
        <v>993</v>
      </c>
      <c r="J31" t="s">
        <v>1038</v>
      </c>
      <c r="K31" t="s">
        <v>197</v>
      </c>
      <c r="L31" t="s">
        <v>198</v>
      </c>
      <c r="M31" t="s">
        <v>199</v>
      </c>
      <c r="N31" t="s">
        <v>413</v>
      </c>
      <c r="O31" s="4">
        <f>AVERAGE(ParseTime(RunTime1!F31),ParseTime(RunTime2!F31),ParseTime(RunTime3!F31),ParseTime(RunTime4!F31))
/
AVERAGE(ParseTime(RunTime1!J31),ParseTime(RunTime2!J31),ParseTime(RunTime3!J31),ParseTime(RunTime4!J31))</f>
        <v>222.00077246588276</v>
      </c>
      <c r="P31" s="4">
        <f>AVERAGE(ParseTime(RunTime1!F31),ParseTime(RunTime2!F31),ParseTime(RunTime3!F31),ParseTime(RunTime4!F31))
/
AVERAGE(ParseTime(RunTime1!I31),ParseTime(RunTime2!I31),ParseTime(RunTime3!I31),ParseTime(RunTime4!I31))</f>
        <v>213.76289256198348</v>
      </c>
      <c r="Q31" s="4">
        <f>AVERAGE(ParseTime(RunTime1!H31),ParseTime(RunTime2!H31),ParseTime(RunTime3!H31),ParseTime(RunTime4!H31))
/
AVERAGE(ParseTime(RunTime1!J31),ParseTime(RunTime2!J31),ParseTime(RunTime3!J31),ParseTime(RunTime4!J31))</f>
        <v>0.88095442451291728</v>
      </c>
      <c r="R31" s="4">
        <f>AVERAGE(ParseTime(RunTime1!G31),ParseTime(RunTime2!G31),ParseTime(RunTime3!G31),ParseTime(RunTime4!G31))
/
AVERAGE(ParseTime(RunTime1!I31),ParseTime(RunTime2!I31),ParseTime(RunTime3!I31),ParseTime(RunTime4!I31))</f>
        <v>0.79157024793388431</v>
      </c>
      <c r="S31" s="4">
        <f>AVERAGE(ParseTime(RunTime1!H31),ParseTime(RunTime2!H31),ParseTime(RunTime3!H31),ParseTime(RunTime4!H31))
/
AVERAGE(ParseTime(RunTime1!I31),ParseTime(RunTime2!I31),ParseTime(RunTime3!I31),ParseTime(RunTime4!I31))</f>
        <v>0.8482644628099173</v>
      </c>
      <c r="T31" s="4">
        <f>AVERAGE(ParseTime(RunTime1!G31),ParseTime(RunTime2!G31),ParseTime(RunTime3!G31),ParseTime(RunTime4!G31))
/
AVERAGE(ParseTime(RunTime1!J31),ParseTime(RunTime2!J31),ParseTime(RunTime3!J31),ParseTime(RunTime4!J31))</f>
        <v>0.82207535833834</v>
      </c>
      <c r="U31" t="s">
        <v>18</v>
      </c>
    </row>
    <row r="32" spans="1:21" x14ac:dyDescent="0.25">
      <c r="A32" t="s">
        <v>294</v>
      </c>
      <c r="B32" t="s">
        <v>200</v>
      </c>
      <c r="C32" t="s">
        <v>11</v>
      </c>
      <c r="D32" s="1">
        <v>124026</v>
      </c>
      <c r="E32">
        <v>2</v>
      </c>
      <c r="F32" t="s">
        <v>201</v>
      </c>
      <c r="G32" t="s">
        <v>202</v>
      </c>
      <c r="H32" t="s">
        <v>203</v>
      </c>
      <c r="I32" t="s">
        <v>994</v>
      </c>
      <c r="J32" t="s">
        <v>1039</v>
      </c>
      <c r="K32" t="s">
        <v>204</v>
      </c>
      <c r="L32" t="s">
        <v>205</v>
      </c>
      <c r="M32" t="s">
        <v>206</v>
      </c>
      <c r="N32" t="s">
        <v>800</v>
      </c>
      <c r="O32" s="4">
        <f>AVERAGE(ParseTime(RunTime1!F32),ParseTime(RunTime2!F32),ParseTime(RunTime3!F32),ParseTime(RunTime4!F32))
/
AVERAGE(ParseTime(RunTime1!J32),ParseTime(RunTime2!J32),ParseTime(RunTime3!J32),ParseTime(RunTime4!J32))</f>
        <v>27.085853518704315</v>
      </c>
      <c r="P32" s="4">
        <f>AVERAGE(ParseTime(RunTime1!F32),ParseTime(RunTime2!F32),ParseTime(RunTime3!F32),ParseTime(RunTime4!F32))
/
AVERAGE(ParseTime(RunTime1!I32),ParseTime(RunTime2!I32),ParseTime(RunTime3!I32),ParseTime(RunTime4!I32))</f>
        <v>31.646654944318847</v>
      </c>
      <c r="Q32" s="4">
        <f>AVERAGE(ParseTime(RunTime1!H32),ParseTime(RunTime2!H32),ParseTime(RunTime3!H32),ParseTime(RunTime4!H32))
/
AVERAGE(ParseTime(RunTime1!J32),ParseTime(RunTime2!J32),ParseTime(RunTime3!J32),ParseTime(RunTime4!J32))</f>
        <v>0.42145621327218008</v>
      </c>
      <c r="R32" s="4">
        <f>AVERAGE(ParseTime(RunTime1!G32),ParseTime(RunTime2!G32),ParseTime(RunTime3!G32),ParseTime(RunTime4!G32))
/
AVERAGE(ParseTime(RunTime1!I32),ParseTime(RunTime2!I32),ParseTime(RunTime3!I32),ParseTime(RunTime4!I32))</f>
        <v>0.63870049401322959</v>
      </c>
      <c r="S32" s="4">
        <f>AVERAGE(ParseTime(RunTime1!H32),ParseTime(RunTime2!H32),ParseTime(RunTime3!H32),ParseTime(RunTime4!H32))
/
AVERAGE(ParseTime(RunTime1!I32),ParseTime(RunTime2!I32),ParseTime(RunTime3!I32),ParseTime(RunTime4!I32))</f>
        <v>0.49242233944570046</v>
      </c>
      <c r="T32" s="4">
        <f>AVERAGE(ParseTime(RunTime1!G32),ParseTime(RunTime2!G32),ParseTime(RunTime3!G32),ParseTime(RunTime4!G32))
/
AVERAGE(ParseTime(RunTime1!J32),ParseTime(RunTime2!J32),ParseTime(RunTime3!J32),ParseTime(RunTime4!J32))</f>
        <v>0.54665328937938951</v>
      </c>
      <c r="U32" t="s">
        <v>18</v>
      </c>
    </row>
    <row r="33" spans="1:21" x14ac:dyDescent="0.25">
      <c r="A33" t="s">
        <v>294</v>
      </c>
      <c r="B33" t="s">
        <v>200</v>
      </c>
      <c r="C33" t="s">
        <v>19</v>
      </c>
      <c r="D33" s="1">
        <v>122501</v>
      </c>
      <c r="E33">
        <v>2</v>
      </c>
      <c r="F33" t="s">
        <v>207</v>
      </c>
      <c r="G33" t="s">
        <v>208</v>
      </c>
      <c r="H33" t="s">
        <v>209</v>
      </c>
      <c r="I33" t="s">
        <v>995</v>
      </c>
      <c r="J33" t="s">
        <v>1040</v>
      </c>
      <c r="K33" t="s">
        <v>210</v>
      </c>
      <c r="L33" t="s">
        <v>211</v>
      </c>
      <c r="M33" t="s">
        <v>212</v>
      </c>
      <c r="N33" t="s">
        <v>548</v>
      </c>
      <c r="O33" s="4">
        <f>AVERAGE(ParseTime(RunTime1!F33),ParseTime(RunTime2!F33),ParseTime(RunTime3!F33),ParseTime(RunTime4!F33))
/
AVERAGE(ParseTime(RunTime1!J33),ParseTime(RunTime2!J33),ParseTime(RunTime3!J33),ParseTime(RunTime4!J33))</f>
        <v>30.650068598176098</v>
      </c>
      <c r="P33" s="4">
        <f>AVERAGE(ParseTime(RunTime1!F33),ParseTime(RunTime2!F33),ParseTime(RunTime3!F33),ParseTime(RunTime4!F33))
/
AVERAGE(ParseTime(RunTime1!I33),ParseTime(RunTime2!I33),ParseTime(RunTime3!I33),ParseTime(RunTime4!I33))</f>
        <v>37.613647618104395</v>
      </c>
      <c r="Q33" s="4">
        <f>AVERAGE(ParseTime(RunTime1!H33),ParseTime(RunTime2!H33),ParseTime(RunTime3!H33),ParseTime(RunTime4!H33))
/
AVERAGE(ParseTime(RunTime1!J33),ParseTime(RunTime2!J33),ParseTime(RunTime3!J33),ParseTime(RunTime4!J33))</f>
        <v>0.5714631587442498</v>
      </c>
      <c r="R33" s="4">
        <f>AVERAGE(ParseTime(RunTime1!G33),ParseTime(RunTime2!G33),ParseTime(RunTime3!G33),ParseTime(RunTime4!G33))
/
AVERAGE(ParseTime(RunTime1!I33),ParseTime(RunTime2!I33),ParseTime(RunTime3!I33),ParseTime(RunTime4!I33))</f>
        <v>0.7834010102010498</v>
      </c>
      <c r="S33" s="4">
        <f>AVERAGE(ParseTime(RunTime1!H33),ParseTime(RunTime2!H33),ParseTime(RunTime3!H33),ParseTime(RunTime4!H33))
/
AVERAGE(ParseTime(RunTime1!I33),ParseTime(RunTime2!I33),ParseTime(RunTime3!I33),ParseTime(RunTime4!I33))</f>
        <v>0.70129741507378429</v>
      </c>
      <c r="T33" s="4">
        <f>AVERAGE(ParseTime(RunTime1!G33),ParseTime(RunTime2!G33),ParseTime(RunTime3!G33),ParseTime(RunTime4!G33))
/
AVERAGE(ParseTime(RunTime1!J33),ParseTime(RunTime2!J33),ParseTime(RunTime3!J33),ParseTime(RunTime4!J33))</f>
        <v>0.63836655637155992</v>
      </c>
      <c r="U33" t="s">
        <v>18</v>
      </c>
    </row>
    <row r="34" spans="1:21" x14ac:dyDescent="0.25">
      <c r="A34" t="s">
        <v>294</v>
      </c>
      <c r="B34" t="s">
        <v>213</v>
      </c>
      <c r="C34" t="s">
        <v>11</v>
      </c>
      <c r="D34" s="1">
        <v>116275</v>
      </c>
      <c r="E34">
        <v>2</v>
      </c>
      <c r="F34" t="s">
        <v>214</v>
      </c>
      <c r="G34" t="s">
        <v>215</v>
      </c>
      <c r="H34" t="s">
        <v>216</v>
      </c>
      <c r="I34" t="s">
        <v>996</v>
      </c>
      <c r="J34" t="s">
        <v>858</v>
      </c>
      <c r="K34" t="s">
        <v>217</v>
      </c>
      <c r="L34" t="s">
        <v>218</v>
      </c>
      <c r="M34" t="s">
        <v>219</v>
      </c>
      <c r="N34" t="s">
        <v>230</v>
      </c>
      <c r="O34" s="4">
        <f>AVERAGE(ParseTime(RunTime1!F34),ParseTime(RunTime2!F34),ParseTime(RunTime3!F34),ParseTime(RunTime4!F34))
/
AVERAGE(ParseTime(RunTime1!J34),ParseTime(RunTime2!J34),ParseTime(RunTime3!J34),ParseTime(RunTime4!J34))</f>
        <v>1.9758671226184661</v>
      </c>
      <c r="P34" s="4">
        <f>AVERAGE(ParseTime(RunTime1!F34),ParseTime(RunTime2!F34),ParseTime(RunTime3!F34),ParseTime(RunTime4!F34))
/
AVERAGE(ParseTime(RunTime1!I34),ParseTime(RunTime2!I34),ParseTime(RunTime3!I34),ParseTime(RunTime4!I34))</f>
        <v>2.0743666017027387</v>
      </c>
      <c r="Q34" s="4">
        <f>AVERAGE(ParseTime(RunTime1!H34),ParseTime(RunTime2!H34),ParseTime(RunTime3!H34),ParseTime(RunTime4!H34))
/
AVERAGE(ParseTime(RunTime1!J34),ParseTime(RunTime2!J34),ParseTime(RunTime3!J34),ParseTime(RunTime4!J34))</f>
        <v>0.69653150952613585</v>
      </c>
      <c r="R34" s="4">
        <f>AVERAGE(ParseTime(RunTime1!G34),ParseTime(RunTime2!G34),ParseTime(RunTime3!G34),ParseTime(RunTime4!G34))
/
AVERAGE(ParseTime(RunTime1!I34),ParseTime(RunTime2!I34),ParseTime(RunTime3!I34),ParseTime(RunTime4!I34))</f>
        <v>0.80705713406503232</v>
      </c>
      <c r="S34" s="4">
        <f>AVERAGE(ParseTime(RunTime1!H34),ParseTime(RunTime2!H34),ParseTime(RunTime3!H34),ParseTime(RunTime4!H34))
/
AVERAGE(ParseTime(RunTime1!I34),ParseTime(RunTime2!I34),ParseTime(RunTime3!I34),ParseTime(RunTime4!I34))</f>
        <v>0.73125448763975798</v>
      </c>
      <c r="T34" s="4">
        <f>AVERAGE(ParseTime(RunTime1!G34),ParseTime(RunTime2!G34),ParseTime(RunTime3!G34),ParseTime(RunTime4!G34))
/
AVERAGE(ParseTime(RunTime1!J34),ParseTime(RunTime2!J34),ParseTime(RunTime3!J34),ParseTime(RunTime4!J34))</f>
        <v>0.76873473375671708</v>
      </c>
      <c r="U34" t="s">
        <v>18</v>
      </c>
    </row>
    <row r="35" spans="1:21" x14ac:dyDescent="0.25">
      <c r="A35" t="s">
        <v>294</v>
      </c>
      <c r="B35" t="s">
        <v>213</v>
      </c>
      <c r="C35" t="s">
        <v>19</v>
      </c>
      <c r="D35" s="1">
        <v>108110</v>
      </c>
      <c r="E35">
        <v>2</v>
      </c>
      <c r="F35" t="s">
        <v>220</v>
      </c>
      <c r="G35" t="s">
        <v>221</v>
      </c>
      <c r="H35" t="s">
        <v>222</v>
      </c>
      <c r="I35" t="s">
        <v>997</v>
      </c>
      <c r="J35" t="s">
        <v>1041</v>
      </c>
      <c r="K35" t="s">
        <v>223</v>
      </c>
      <c r="L35" t="s">
        <v>224</v>
      </c>
      <c r="M35" t="s">
        <v>225</v>
      </c>
      <c r="N35" t="s">
        <v>1057</v>
      </c>
      <c r="O35" s="4">
        <f>AVERAGE(ParseTime(RunTime1!F35),ParseTime(RunTime2!F35),ParseTime(RunTime3!F35),ParseTime(RunTime4!F35))
/
AVERAGE(ParseTime(RunTime1!J35),ParseTime(RunTime2!J35),ParseTime(RunTime3!J35),ParseTime(RunTime4!J35))</f>
        <v>1.7929200598304804</v>
      </c>
      <c r="P35" s="4">
        <f>AVERAGE(ParseTime(RunTime1!F35),ParseTime(RunTime2!F35),ParseTime(RunTime3!F35),ParseTime(RunTime4!F35))
/
AVERAGE(ParseTime(RunTime1!I35),ParseTime(RunTime2!I35),ParseTime(RunTime3!I35),ParseTime(RunTime4!I35))</f>
        <v>1.8360990553995407</v>
      </c>
      <c r="Q35" s="4">
        <f>AVERAGE(ParseTime(RunTime1!H35),ParseTime(RunTime2!H35),ParseTime(RunTime3!H35),ParseTime(RunTime4!H35))
/
AVERAGE(ParseTime(RunTime1!J35),ParseTime(RunTime2!J35),ParseTime(RunTime3!J35),ParseTime(RunTime4!J35))</f>
        <v>0.54852916735914903</v>
      </c>
      <c r="R35" s="4">
        <f>AVERAGE(ParseTime(RunTime1!G35),ParseTime(RunTime2!G35),ParseTime(RunTime3!G35),ParseTime(RunTime4!G35))
/
AVERAGE(ParseTime(RunTime1!I35),ParseTime(RunTime2!I35),ParseTime(RunTime3!I35),ParseTime(RunTime4!I35))</f>
        <v>0.51238192494255808</v>
      </c>
      <c r="S35" s="4">
        <f>AVERAGE(ParseTime(RunTime1!H35),ParseTime(RunTime2!H35),ParseTime(RunTime3!H35),ParseTime(RunTime4!H35))
/
AVERAGE(ParseTime(RunTime1!I35),ParseTime(RunTime2!I35),ParseTime(RunTime3!I35),ParseTime(RunTime4!I35))</f>
        <v>0.56173942643179298</v>
      </c>
      <c r="T35" s="4">
        <f>AVERAGE(ParseTime(RunTime1!G35),ParseTime(RunTime2!G35),ParseTime(RunTime3!G35),ParseTime(RunTime4!G35))
/
AVERAGE(ParseTime(RunTime1!J35),ParseTime(RunTime2!J35),ParseTime(RunTime3!J35),ParseTime(RunTime4!J35))</f>
        <v>0.50033239155725451</v>
      </c>
      <c r="U35" t="s">
        <v>18</v>
      </c>
    </row>
    <row r="36" spans="1:21" x14ac:dyDescent="0.25">
      <c r="A36" t="s">
        <v>294</v>
      </c>
      <c r="B36" t="s">
        <v>226</v>
      </c>
      <c r="C36" t="s">
        <v>11</v>
      </c>
      <c r="D36" s="1">
        <v>120233</v>
      </c>
      <c r="E36">
        <v>2</v>
      </c>
      <c r="F36" t="s">
        <v>227</v>
      </c>
      <c r="G36" t="s">
        <v>228</v>
      </c>
      <c r="H36" t="s">
        <v>229</v>
      </c>
      <c r="I36" t="s">
        <v>998</v>
      </c>
      <c r="J36" t="s">
        <v>1042</v>
      </c>
      <c r="K36" t="s">
        <v>230</v>
      </c>
      <c r="L36" t="s">
        <v>93</v>
      </c>
      <c r="M36" t="s">
        <v>231</v>
      </c>
      <c r="N36" t="s">
        <v>1058</v>
      </c>
      <c r="O36" s="4">
        <f>AVERAGE(ParseTime(RunTime1!F36),ParseTime(RunTime2!F36),ParseTime(RunTime3!F36),ParseTime(RunTime4!F36))
/
AVERAGE(ParseTime(RunTime1!J36),ParseTime(RunTime2!J36),ParseTime(RunTime3!J36),ParseTime(RunTime4!J36))</f>
        <v>1.6385116279069769</v>
      </c>
      <c r="P36" s="4">
        <f>AVERAGE(ParseTime(RunTime1!F36),ParseTime(RunTime2!F36),ParseTime(RunTime3!F36),ParseTime(RunTime4!F36))
/
AVERAGE(ParseTime(RunTime1!I36),ParseTime(RunTime2!I36),ParseTime(RunTime3!I36),ParseTime(RunTime4!I36))</f>
        <v>1.8712418995006905</v>
      </c>
      <c r="Q36" s="4">
        <f>AVERAGE(ParseTime(RunTime1!H36),ParseTime(RunTime2!H36),ParseTime(RunTime3!H36),ParseTime(RunTime4!H36))
/
AVERAGE(ParseTime(RunTime1!J36),ParseTime(RunTime2!J36),ParseTime(RunTime3!J36),ParseTime(RunTime4!J36))</f>
        <v>0.50427906976744186</v>
      </c>
      <c r="R36" s="4">
        <f>AVERAGE(ParseTime(RunTime1!G36),ParseTime(RunTime2!G36),ParseTime(RunTime3!G36),ParseTime(RunTime4!G36))
/
AVERAGE(ParseTime(RunTime1!I36),ParseTime(RunTime2!I36),ParseTime(RunTime3!I36),ParseTime(RunTime4!I36))</f>
        <v>0.86529268033570583</v>
      </c>
      <c r="S36" s="4">
        <f>AVERAGE(ParseTime(RunTime1!H36),ParseTime(RunTime2!H36),ParseTime(RunTime3!H36),ParseTime(RunTime4!H36))
/
AVERAGE(ParseTime(RunTime1!I36),ParseTime(RunTime2!I36),ParseTime(RunTime3!I36),ParseTime(RunTime4!I36))</f>
        <v>0.5759056623818124</v>
      </c>
      <c r="T36" s="4">
        <f>AVERAGE(ParseTime(RunTime1!G36),ParseTime(RunTime2!G36),ParseTime(RunTime3!G36),ParseTime(RunTime4!G36))
/
AVERAGE(ParseTime(RunTime1!J36),ParseTime(RunTime2!J36),ParseTime(RunTime3!J36),ParseTime(RunTime4!J36))</f>
        <v>0.75767441860465112</v>
      </c>
      <c r="U36" t="s">
        <v>18</v>
      </c>
    </row>
    <row r="37" spans="1:21" x14ac:dyDescent="0.25">
      <c r="A37" t="s">
        <v>294</v>
      </c>
      <c r="B37" t="s">
        <v>226</v>
      </c>
      <c r="C37" t="s">
        <v>19</v>
      </c>
      <c r="D37" s="1">
        <v>121425</v>
      </c>
      <c r="E37">
        <v>2</v>
      </c>
      <c r="F37" t="s">
        <v>232</v>
      </c>
      <c r="G37" t="s">
        <v>233</v>
      </c>
      <c r="H37" t="s">
        <v>234</v>
      </c>
      <c r="I37" t="s">
        <v>999</v>
      </c>
      <c r="J37" t="s">
        <v>1043</v>
      </c>
      <c r="K37" t="s">
        <v>131</v>
      </c>
      <c r="L37" t="s">
        <v>231</v>
      </c>
      <c r="M37" t="s">
        <v>235</v>
      </c>
      <c r="N37" t="s">
        <v>73</v>
      </c>
      <c r="O37" s="4">
        <f>AVERAGE(ParseTime(RunTime1!F37),ParseTime(RunTime2!F37),ParseTime(RunTime3!F37),ParseTime(RunTime4!F37))
/
AVERAGE(ParseTime(RunTime1!J37),ParseTime(RunTime2!J37),ParseTime(RunTime3!J37),ParseTime(RunTime4!J37))</f>
        <v>1.6762295081967213</v>
      </c>
      <c r="P37" s="4">
        <f>AVERAGE(ParseTime(RunTime1!F37),ParseTime(RunTime2!F37),ParseTime(RunTime3!F37),ParseTime(RunTime4!F37))
/
AVERAGE(ParseTime(RunTime1!I37),ParseTime(RunTime2!I37),ParseTime(RunTime3!I37),ParseTime(RunTime4!I37))</f>
        <v>1.5912848944655187</v>
      </c>
      <c r="Q37" s="4">
        <f>AVERAGE(ParseTime(RunTime1!H37),ParseTime(RunTime2!H37),ParseTime(RunTime3!H37),ParseTime(RunTime4!H37))
/
AVERAGE(ParseTime(RunTime1!J37),ParseTime(RunTime2!J37),ParseTime(RunTime3!J37),ParseTime(RunTime4!J37))</f>
        <v>0.54682377049180331</v>
      </c>
      <c r="R37" s="4">
        <f>AVERAGE(ParseTime(RunTime1!G37),ParseTime(RunTime2!G37),ParseTime(RunTime3!G37),ParseTime(RunTime4!G37))
/
AVERAGE(ParseTime(RunTime1!I37),ParseTime(RunTime2!I37),ParseTime(RunTime3!I37),ParseTime(RunTime4!I37))</f>
        <v>0.51629218947573186</v>
      </c>
      <c r="S37" s="4">
        <f>AVERAGE(ParseTime(RunTime1!H37),ParseTime(RunTime2!H37),ParseTime(RunTime3!H37),ParseTime(RunTime4!H37))
/
AVERAGE(ParseTime(RunTime1!I37),ParseTime(RunTime2!I37),ParseTime(RunTime3!I37),ParseTime(RunTime4!I37))</f>
        <v>0.5191129267580975</v>
      </c>
      <c r="T37" s="4">
        <f>AVERAGE(ParseTime(RunTime1!G37),ParseTime(RunTime2!G37),ParseTime(RunTime3!G37),ParseTime(RunTime4!G37))
/
AVERAGE(ParseTime(RunTime1!J37),ParseTime(RunTime2!J37),ParseTime(RunTime3!J37),ParseTime(RunTime4!J37))</f>
        <v>0.54385245901639345</v>
      </c>
      <c r="U37" t="s">
        <v>18</v>
      </c>
    </row>
    <row r="38" spans="1:21" x14ac:dyDescent="0.25">
      <c r="A38" t="s">
        <v>294</v>
      </c>
      <c r="B38" t="s">
        <v>236</v>
      </c>
      <c r="C38" t="s">
        <v>11</v>
      </c>
      <c r="D38" s="1">
        <v>90920</v>
      </c>
      <c r="E38">
        <v>2</v>
      </c>
      <c r="F38" t="s">
        <v>237</v>
      </c>
      <c r="G38" t="s">
        <v>238</v>
      </c>
      <c r="H38" t="s">
        <v>239</v>
      </c>
      <c r="I38" t="s">
        <v>884</v>
      </c>
      <c r="J38" t="s">
        <v>1044</v>
      </c>
      <c r="K38" t="s">
        <v>47</v>
      </c>
      <c r="L38" t="s">
        <v>240</v>
      </c>
      <c r="M38" t="s">
        <v>241</v>
      </c>
      <c r="N38" t="s">
        <v>166</v>
      </c>
      <c r="O38" s="4">
        <f>AVERAGE(ParseTime(RunTime1!F38),ParseTime(RunTime2!F38),ParseTime(RunTime3!F38),ParseTime(RunTime4!F38))
/
AVERAGE(ParseTime(RunTime1!J38),ParseTime(RunTime2!J38),ParseTime(RunTime3!J38),ParseTime(RunTime4!J38))</f>
        <v>3.4453968253968252</v>
      </c>
      <c r="P38" s="4">
        <f>AVERAGE(ParseTime(RunTime1!F38),ParseTime(RunTime2!F38),ParseTime(RunTime3!F38),ParseTime(RunTime4!F38))
/
AVERAGE(ParseTime(RunTime1!I38),ParseTime(RunTime2!I38),ParseTime(RunTime3!I38),ParseTime(RunTime4!I38))</f>
        <v>3.5846086094902563</v>
      </c>
      <c r="Q38" s="4">
        <f>AVERAGE(ParseTime(RunTime1!H38),ParseTime(RunTime2!H38),ParseTime(RunTime3!H38),ParseTime(RunTime4!H38))
/
AVERAGE(ParseTime(RunTime1!J38),ParseTime(RunTime2!J38),ParseTime(RunTime3!J38),ParseTime(RunTime4!J38))</f>
        <v>0.42603174603174604</v>
      </c>
      <c r="R38" s="4">
        <f>AVERAGE(ParseTime(RunTime1!G38),ParseTime(RunTime2!G38),ParseTime(RunTime3!G38),ParseTime(RunTime4!G38))
/
AVERAGE(ParseTime(RunTime1!I38),ParseTime(RunTime2!I38),ParseTime(RunTime3!I38),ParseTime(RunTime4!I38))</f>
        <v>0.6439502367059341</v>
      </c>
      <c r="S38" s="4">
        <f>AVERAGE(ParseTime(RunTime1!H38),ParseTime(RunTime2!H38),ParseTime(RunTime3!H38),ParseTime(RunTime4!H38))
/
AVERAGE(ParseTime(RunTime1!I38),ParseTime(RunTime2!I38),ParseTime(RunTime3!I38),ParseTime(RunTime4!I38))</f>
        <v>0.44324562369261256</v>
      </c>
      <c r="T38" s="4">
        <f>AVERAGE(ParseTime(RunTime1!G38),ParseTime(RunTime2!G38),ParseTime(RunTime3!G38),ParseTime(RunTime4!G38))
/
AVERAGE(ParseTime(RunTime1!J38),ParseTime(RunTime2!J38),ParseTime(RunTime3!J38),ParseTime(RunTime4!J38))</f>
        <v>0.6189417989417989</v>
      </c>
      <c r="U38" t="s">
        <v>18</v>
      </c>
    </row>
    <row r="39" spans="1:21" x14ac:dyDescent="0.25">
      <c r="A39" t="s">
        <v>294</v>
      </c>
      <c r="B39" t="s">
        <v>236</v>
      </c>
      <c r="C39" t="s">
        <v>19</v>
      </c>
      <c r="D39" s="1">
        <v>93414</v>
      </c>
      <c r="E39">
        <v>2</v>
      </c>
      <c r="F39" t="s">
        <v>242</v>
      </c>
      <c r="G39" t="s">
        <v>243</v>
      </c>
      <c r="H39" t="s">
        <v>244</v>
      </c>
      <c r="I39" t="s">
        <v>1000</v>
      </c>
      <c r="J39" t="s">
        <v>1045</v>
      </c>
      <c r="K39" t="s">
        <v>245</v>
      </c>
      <c r="L39" t="s">
        <v>246</v>
      </c>
      <c r="M39" t="s">
        <v>247</v>
      </c>
      <c r="N39" t="s">
        <v>789</v>
      </c>
      <c r="O39" s="4">
        <f>AVERAGE(ParseTime(RunTime1!F39),ParseTime(RunTime2!F39),ParseTime(RunTime3!F39),ParseTime(RunTime4!F39))
/
AVERAGE(ParseTime(RunTime1!J39),ParseTime(RunTime2!J39),ParseTime(RunTime3!J39),ParseTime(RunTime4!J39))</f>
        <v>4.7060074428495486</v>
      </c>
      <c r="P39" s="4">
        <f>AVERAGE(ParseTime(RunTime1!F39),ParseTime(RunTime2!F39),ParseTime(RunTime3!F39),ParseTime(RunTime4!F39))
/
AVERAGE(ParseTime(RunTime1!I39),ParseTime(RunTime2!I39),ParseTime(RunTime3!I39),ParseTime(RunTime4!I39))</f>
        <v>4.5429817808570698</v>
      </c>
      <c r="Q39" s="4">
        <f>AVERAGE(ParseTime(RunTime1!H39),ParseTime(RunTime2!H39),ParseTime(RunTime3!H39),ParseTime(RunTime4!H39))
/
AVERAGE(ParseTime(RunTime1!J39),ParseTime(RunTime2!J39),ParseTime(RunTime3!J39),ParseTime(RunTime4!J39))</f>
        <v>0.68806485911749071</v>
      </c>
      <c r="R39" s="4">
        <f>AVERAGE(ParseTime(RunTime1!G39),ParseTime(RunTime2!G39),ParseTime(RunTime3!G39),ParseTime(RunTime4!G39))
/
AVERAGE(ParseTime(RunTime1!I39),ParseTime(RunTime2!I39),ParseTime(RunTime3!I39),ParseTime(RunTime4!I39))</f>
        <v>0.61534513728509099</v>
      </c>
      <c r="S39" s="4">
        <f>AVERAGE(ParseTime(RunTime1!H39),ParseTime(RunTime2!H39),ParseTime(RunTime3!H39),ParseTime(RunTime4!H39))
/
AVERAGE(ParseTime(RunTime1!I39),ParseTime(RunTime2!I39),ParseTime(RunTime3!I39),ParseTime(RunTime4!I39))</f>
        <v>0.66422889402104168</v>
      </c>
      <c r="T39" s="4">
        <f>AVERAGE(ParseTime(RunTime1!G39),ParseTime(RunTime2!G39),ParseTime(RunTime3!G39),ParseTime(RunTime4!G39))
/
AVERAGE(ParseTime(RunTime1!J39),ParseTime(RunTime2!J39),ParseTime(RunTime3!J39),ParseTime(RunTime4!J39))</f>
        <v>0.63742690058479534</v>
      </c>
      <c r="U39" t="s">
        <v>18</v>
      </c>
    </row>
    <row r="40" spans="1:21" x14ac:dyDescent="0.25">
      <c r="A40" t="s">
        <v>294</v>
      </c>
      <c r="B40" t="s">
        <v>248</v>
      </c>
      <c r="C40" t="s">
        <v>11</v>
      </c>
      <c r="D40" s="1">
        <v>88866</v>
      </c>
      <c r="E40">
        <v>2</v>
      </c>
      <c r="F40" t="s">
        <v>249</v>
      </c>
      <c r="G40" t="s">
        <v>250</v>
      </c>
      <c r="H40" t="s">
        <v>251</v>
      </c>
      <c r="I40" t="s">
        <v>1001</v>
      </c>
      <c r="J40" t="s">
        <v>1046</v>
      </c>
      <c r="K40" t="s">
        <v>252</v>
      </c>
      <c r="L40" t="s">
        <v>253</v>
      </c>
      <c r="M40" t="s">
        <v>254</v>
      </c>
      <c r="N40" t="s">
        <v>230</v>
      </c>
      <c r="O40" s="4">
        <f>AVERAGE(ParseTime(RunTime1!F40),ParseTime(RunTime2!F40),ParseTime(RunTime3!F40),ParseTime(RunTime4!F40))
/
AVERAGE(ParseTime(RunTime1!J40),ParseTime(RunTime2!J40),ParseTime(RunTime3!J40),ParseTime(RunTime4!J40))</f>
        <v>1.4220714428257835</v>
      </c>
      <c r="P40" s="4">
        <f>AVERAGE(ParseTime(RunTime1!F40),ParseTime(RunTime2!F40),ParseTime(RunTime3!F40),ParseTime(RunTime4!F40))
/
AVERAGE(ParseTime(RunTime1!I40),ParseTime(RunTime2!I40),ParseTime(RunTime3!I40),ParseTime(RunTime4!I40))</f>
        <v>1.6064021641118127</v>
      </c>
      <c r="Q40" s="4">
        <f>AVERAGE(ParseTime(RunTime1!H40),ParseTime(RunTime2!H40),ParseTime(RunTime3!H40),ParseTime(RunTime4!H40))
/
AVERAGE(ParseTime(RunTime1!J40),ParseTime(RunTime2!J40),ParseTime(RunTime3!J40),ParseTime(RunTime4!J40))</f>
        <v>0.42107363799640785</v>
      </c>
      <c r="R40" s="4">
        <f>AVERAGE(ParseTime(RunTime1!G40),ParseTime(RunTime2!G40),ParseTime(RunTime3!G40),ParseTime(RunTime4!G40))
/
AVERAGE(ParseTime(RunTime1!I40),ParseTime(RunTime2!I40),ParseTime(RunTime3!I40),ParseTime(RunTime4!I40))</f>
        <v>0.72880973850315589</v>
      </c>
      <c r="S40" s="4">
        <f>AVERAGE(ParseTime(RunTime1!H40),ParseTime(RunTime2!H40),ParseTime(RunTime3!H40),ParseTime(RunTime4!H40))
/
AVERAGE(ParseTime(RunTime1!I40),ParseTime(RunTime2!I40),ParseTime(RunTime3!I40),ParseTime(RunTime4!I40))</f>
        <v>0.47565374211000899</v>
      </c>
      <c r="T40" s="4">
        <f>AVERAGE(ParseTime(RunTime1!G40),ParseTime(RunTime2!G40),ParseTime(RunTime3!G40),ParseTime(RunTime4!G40))
/
AVERAGE(ParseTime(RunTime1!J40),ParseTime(RunTime2!J40),ParseTime(RunTime3!J40),ParseTime(RunTime4!J40))</f>
        <v>0.64518060267411681</v>
      </c>
      <c r="U40" t="s">
        <v>18</v>
      </c>
    </row>
    <row r="41" spans="1:21" x14ac:dyDescent="0.25">
      <c r="A41" t="s">
        <v>294</v>
      </c>
      <c r="B41" t="s">
        <v>248</v>
      </c>
      <c r="C41" t="s">
        <v>19</v>
      </c>
      <c r="D41" s="1">
        <v>89795</v>
      </c>
      <c r="E41">
        <v>2</v>
      </c>
      <c r="F41" t="s">
        <v>255</v>
      </c>
      <c r="G41" t="s">
        <v>256</v>
      </c>
      <c r="H41" t="s">
        <v>257</v>
      </c>
      <c r="I41" t="s">
        <v>1002</v>
      </c>
      <c r="J41" t="s">
        <v>1047</v>
      </c>
      <c r="K41" t="s">
        <v>98</v>
      </c>
      <c r="L41" t="s">
        <v>258</v>
      </c>
      <c r="M41" t="s">
        <v>258</v>
      </c>
      <c r="N41" t="s">
        <v>777</v>
      </c>
      <c r="O41" s="4">
        <f>AVERAGE(ParseTime(RunTime1!F41),ParseTime(RunTime2!F41),ParseTime(RunTime3!F41),ParseTime(RunTime4!F41))
/
AVERAGE(ParseTime(RunTime1!J41),ParseTime(RunTime2!J41),ParseTime(RunTime3!J41),ParseTime(RunTime4!J41))</f>
        <v>1.5282239017477561</v>
      </c>
      <c r="P41" s="4">
        <f>AVERAGE(ParseTime(RunTime1!F41),ParseTime(RunTime2!F41),ParseTime(RunTime3!F41),ParseTime(RunTime4!F41))
/
AVERAGE(ParseTime(RunTime1!I41),ParseTime(RunTime2!I41),ParseTime(RunTime3!I41),ParseTime(RunTime4!I41))</f>
        <v>1.5802906337770177</v>
      </c>
      <c r="Q41" s="4">
        <f>AVERAGE(ParseTime(RunTime1!H41),ParseTime(RunTime2!H41),ParseTime(RunTime3!H41),ParseTime(RunTime4!H41))
/
AVERAGE(ParseTime(RunTime1!J41),ParseTime(RunTime2!J41),ParseTime(RunTime3!J41),ParseTime(RunTime4!J41))</f>
        <v>0.63793103448275867</v>
      </c>
      <c r="R41" s="4">
        <f>AVERAGE(ParseTime(RunTime1!G41),ParseTime(RunTime2!G41),ParseTime(RunTime3!G41),ParseTime(RunTime4!G41))
/
AVERAGE(ParseTime(RunTime1!I41),ParseTime(RunTime2!I41),ParseTime(RunTime3!I41),ParseTime(RunTime4!I41))</f>
        <v>0.64586640615459767</v>
      </c>
      <c r="S41" s="4">
        <f>AVERAGE(ParseTime(RunTime1!H41),ParseTime(RunTime2!H41),ParseTime(RunTime3!H41),ParseTime(RunTime4!H41))
/
AVERAGE(ParseTime(RunTime1!I41),ParseTime(RunTime2!I41),ParseTime(RunTime3!I41),ParseTime(RunTime4!I41))</f>
        <v>0.65966540481133229</v>
      </c>
      <c r="T41" s="4">
        <f>AVERAGE(ParseTime(RunTime1!G41),ParseTime(RunTime2!G41),ParseTime(RunTime3!G41),ParseTime(RunTime4!G41))
/
AVERAGE(ParseTime(RunTime1!J41),ParseTime(RunTime2!J41),ParseTime(RunTime3!J41),ParseTime(RunTime4!J41))</f>
        <v>0.62458667926310829</v>
      </c>
      <c r="U41" t="s">
        <v>18</v>
      </c>
    </row>
    <row r="42" spans="1:21" x14ac:dyDescent="0.25">
      <c r="A42" t="s">
        <v>294</v>
      </c>
      <c r="B42" t="s">
        <v>259</v>
      </c>
      <c r="C42" t="s">
        <v>11</v>
      </c>
      <c r="D42" s="1">
        <v>57485</v>
      </c>
      <c r="E42">
        <v>2</v>
      </c>
      <c r="F42" t="s">
        <v>260</v>
      </c>
      <c r="G42" t="s">
        <v>261</v>
      </c>
      <c r="H42" t="s">
        <v>262</v>
      </c>
      <c r="I42" t="s">
        <v>1003</v>
      </c>
      <c r="J42" t="s">
        <v>1048</v>
      </c>
      <c r="K42" t="s">
        <v>148</v>
      </c>
      <c r="L42" t="s">
        <v>263</v>
      </c>
      <c r="M42" t="s">
        <v>264</v>
      </c>
      <c r="N42" t="s">
        <v>498</v>
      </c>
      <c r="O42" s="4">
        <f>AVERAGE(ParseTime(RunTime1!F42),ParseTime(RunTime2!F42),ParseTime(RunTime3!F42),ParseTime(RunTime4!F42))
/
AVERAGE(ParseTime(RunTime1!J42),ParseTime(RunTime2!J42),ParseTime(RunTime3!J42),ParseTime(RunTime4!J42))</f>
        <v>18.190366415918465</v>
      </c>
      <c r="P42" s="4">
        <f>AVERAGE(ParseTime(RunTime1!F42),ParseTime(RunTime2!F42),ParseTime(RunTime3!F42),ParseTime(RunTime4!F42))
/
AVERAGE(ParseTime(RunTime1!I42),ParseTime(RunTime2!I42),ParseTime(RunTime3!I42),ParseTime(RunTime4!I42))</f>
        <v>19.480899168399169</v>
      </c>
      <c r="Q42" s="4">
        <f>AVERAGE(ParseTime(RunTime1!H42),ParseTime(RunTime2!H42),ParseTime(RunTime3!H42),ParseTime(RunTime4!H42))
/
AVERAGE(ParseTime(RunTime1!J42),ParseTime(RunTime2!J42),ParseTime(RunTime3!J42),ParseTime(RunTime4!J42))</f>
        <v>0.33195826255763156</v>
      </c>
      <c r="R42" s="4">
        <f>AVERAGE(ParseTime(RunTime1!G42),ParseTime(RunTime2!G42),ParseTime(RunTime3!G42),ParseTime(RunTime4!G42))
/
AVERAGE(ParseTime(RunTime1!I42),ParseTime(RunTime2!I42),ParseTime(RunTime3!I42),ParseTime(RunTime4!I42))</f>
        <v>0.45854989604989604</v>
      </c>
      <c r="S42" s="4">
        <f>AVERAGE(ParseTime(RunTime1!H42),ParseTime(RunTime2!H42),ParseTime(RunTime3!H42),ParseTime(RunTime4!H42))
/
AVERAGE(ParseTime(RunTime1!I42),ParseTime(RunTime2!I42),ParseTime(RunTime3!I42),ParseTime(RunTime4!I42))</f>
        <v>0.35550935550935547</v>
      </c>
      <c r="T42" s="4">
        <f>AVERAGE(ParseTime(RunTime1!G42),ParseTime(RunTime2!G42),ParseTime(RunTime3!G42),ParseTime(RunTime4!G42))
/
AVERAGE(ParseTime(RunTime1!J42),ParseTime(RunTime2!J42),ParseTime(RunTime3!J42),ParseTime(RunTime4!J42))</f>
        <v>0.42817277359864103</v>
      </c>
      <c r="U42" t="s">
        <v>18</v>
      </c>
    </row>
    <row r="43" spans="1:21" x14ac:dyDescent="0.25">
      <c r="A43" t="s">
        <v>294</v>
      </c>
      <c r="B43" t="s">
        <v>259</v>
      </c>
      <c r="C43" t="s">
        <v>19</v>
      </c>
      <c r="D43" s="1">
        <v>58447</v>
      </c>
      <c r="E43">
        <v>2</v>
      </c>
      <c r="F43" t="s">
        <v>265</v>
      </c>
      <c r="G43" t="s">
        <v>266</v>
      </c>
      <c r="H43" t="s">
        <v>267</v>
      </c>
      <c r="I43" t="s">
        <v>1004</v>
      </c>
      <c r="J43" t="s">
        <v>1049</v>
      </c>
      <c r="K43" t="s">
        <v>268</v>
      </c>
      <c r="L43" t="s">
        <v>269</v>
      </c>
      <c r="M43" t="s">
        <v>270</v>
      </c>
      <c r="N43" t="s">
        <v>465</v>
      </c>
      <c r="O43" s="4">
        <f>AVERAGE(ParseTime(RunTime1!F43),ParseTime(RunTime2!F43),ParseTime(RunTime3!F43),ParseTime(RunTime4!F43))
/
AVERAGE(ParseTime(RunTime1!J43),ParseTime(RunTime2!J43),ParseTime(RunTime3!J43),ParseTime(RunTime4!J43))</f>
        <v>22.415350223546941</v>
      </c>
      <c r="P43" s="4">
        <f>AVERAGE(ParseTime(RunTime1!F43),ParseTime(RunTime2!F43),ParseTime(RunTime3!F43),ParseTime(RunTime4!F43))
/
AVERAGE(ParseTime(RunTime1!I43),ParseTime(RunTime2!I43),ParseTime(RunTime3!I43),ParseTime(RunTime4!I43))</f>
        <v>20.281418554476804</v>
      </c>
      <c r="Q43" s="4">
        <f>AVERAGE(ParseTime(RunTime1!H43),ParseTime(RunTime2!H43),ParseTime(RunTime3!H43),ParseTime(RunTime4!H43))
/
AVERAGE(ParseTime(RunTime1!J43),ParseTime(RunTime2!J43),ParseTime(RunTime3!J43),ParseTime(RunTime4!J43))</f>
        <v>0.48420268256333837</v>
      </c>
      <c r="R43" s="4">
        <f>AVERAGE(ParseTime(RunTime1!G43),ParseTime(RunTime2!G43),ParseTime(RunTime3!G43),ParseTime(RunTime4!G43))
/
AVERAGE(ParseTime(RunTime1!I43),ParseTime(RunTime2!I43),ParseTime(RunTime3!I43),ParseTime(RunTime4!I43))</f>
        <v>0.4924487594390507</v>
      </c>
      <c r="S43" s="4">
        <f>AVERAGE(ParseTime(RunTime1!H43),ParseTime(RunTime2!H43),ParseTime(RunTime3!H43),ParseTime(RunTime4!H43))
/
AVERAGE(ParseTime(RunTime1!I43),ParseTime(RunTime2!I43),ParseTime(RunTime3!I43),ParseTime(RunTime4!I43))</f>
        <v>0.43810679611650488</v>
      </c>
      <c r="T43" s="4">
        <f>AVERAGE(ParseTime(RunTime1!G43),ParseTime(RunTime2!G43),ParseTime(RunTime3!G43),ParseTime(RunTime4!G43))
/
AVERAGE(ParseTime(RunTime1!J43),ParseTime(RunTime2!J43),ParseTime(RunTime3!J43),ParseTime(RunTime4!J43))</f>
        <v>0.54426229508196722</v>
      </c>
      <c r="U43" t="s">
        <v>18</v>
      </c>
    </row>
    <row r="44" spans="1:21" x14ac:dyDescent="0.25">
      <c r="A44" t="s">
        <v>294</v>
      </c>
      <c r="B44" t="s">
        <v>271</v>
      </c>
      <c r="C44" t="s">
        <v>11</v>
      </c>
      <c r="D44" s="1">
        <v>55326</v>
      </c>
      <c r="E44">
        <v>2</v>
      </c>
      <c r="F44" t="s">
        <v>272</v>
      </c>
      <c r="G44" t="s">
        <v>273</v>
      </c>
      <c r="H44" t="s">
        <v>274</v>
      </c>
      <c r="I44" t="s">
        <v>1005</v>
      </c>
      <c r="J44" t="s">
        <v>1050</v>
      </c>
      <c r="K44" t="s">
        <v>275</v>
      </c>
      <c r="L44" t="s">
        <v>276</v>
      </c>
      <c r="M44" t="s">
        <v>277</v>
      </c>
      <c r="N44" t="s">
        <v>30</v>
      </c>
      <c r="O44" s="4">
        <f>AVERAGE(ParseTime(RunTime1!F44),ParseTime(RunTime2!F44),ParseTime(RunTime3!F44),ParseTime(RunTime4!F44))
/
AVERAGE(ParseTime(RunTime1!J44),ParseTime(RunTime2!J44),ParseTime(RunTime3!J44),ParseTime(RunTime4!J44))</f>
        <v>121.18074628936053</v>
      </c>
      <c r="P44" s="4">
        <f>AVERAGE(ParseTime(RunTime1!F44),ParseTime(RunTime2!F44),ParseTime(RunTime3!F44),ParseTime(RunTime4!F44))
/
AVERAGE(ParseTime(RunTime1!I44),ParseTime(RunTime2!I44),ParseTime(RunTime3!I44),ParseTime(RunTime4!I44))</f>
        <v>119.3105708822726</v>
      </c>
      <c r="Q44" s="4">
        <f>AVERAGE(ParseTime(RunTime1!H44),ParseTime(RunTime2!H44),ParseTime(RunTime3!H44),ParseTime(RunTime4!H44))
/
AVERAGE(ParseTime(RunTime1!J44),ParseTime(RunTime2!J44),ParseTime(RunTime3!J44),ParseTime(RunTime4!J44))</f>
        <v>0.53530309335552784</v>
      </c>
      <c r="R44" s="4">
        <f>AVERAGE(ParseTime(RunTime1!G44),ParseTime(RunTime2!G44),ParseTime(RunTime3!G44),ParseTime(RunTime4!G44))
/
AVERAGE(ParseTime(RunTime1!I44),ParseTime(RunTime2!I44),ParseTime(RunTime3!I44),ParseTime(RunTime4!I44))</f>
        <v>0.55217153783119366</v>
      </c>
      <c r="S44" s="4">
        <f>AVERAGE(ParseTime(RunTime1!H44),ParseTime(RunTime2!H44),ParseTime(RunTime3!H44),ParseTime(RunTime4!H44))
/
AVERAGE(ParseTime(RunTime1!I44),ParseTime(RunTime2!I44),ParseTime(RunTime3!I44),ParseTime(RunTime4!I44))</f>
        <v>0.52704179186014755</v>
      </c>
      <c r="T44" s="4">
        <f>AVERAGE(ParseTime(RunTime1!G44),ParseTime(RunTime2!G44),ParseTime(RunTime3!G44),ParseTime(RunTime4!G44))
/
AVERAGE(ParseTime(RunTime1!J44),ParseTime(RunTime2!J44),ParseTime(RunTime3!J44),ParseTime(RunTime4!J44))</f>
        <v>0.5608267443473437</v>
      </c>
      <c r="U44" t="s">
        <v>18</v>
      </c>
    </row>
    <row r="45" spans="1:21" x14ac:dyDescent="0.25">
      <c r="A45" t="s">
        <v>294</v>
      </c>
      <c r="B45" t="s">
        <v>271</v>
      </c>
      <c r="C45" t="s">
        <v>19</v>
      </c>
      <c r="D45" s="1">
        <v>55000</v>
      </c>
      <c r="E45">
        <v>2</v>
      </c>
      <c r="F45" t="s">
        <v>278</v>
      </c>
      <c r="G45" t="s">
        <v>279</v>
      </c>
      <c r="H45" t="s">
        <v>280</v>
      </c>
      <c r="I45" t="s">
        <v>1006</v>
      </c>
      <c r="J45" t="s">
        <v>1051</v>
      </c>
      <c r="K45" t="s">
        <v>143</v>
      </c>
      <c r="L45" t="s">
        <v>281</v>
      </c>
      <c r="M45" t="s">
        <v>282</v>
      </c>
      <c r="N45" t="s">
        <v>347</v>
      </c>
      <c r="O45" s="4">
        <f>AVERAGE(ParseTime(RunTime1!F45),ParseTime(RunTime2!F45),ParseTime(RunTime3!F45),ParseTime(RunTime4!F45))
/
AVERAGE(ParseTime(RunTime1!J45),ParseTime(RunTime2!J45),ParseTime(RunTime3!J45),ParseTime(RunTime4!J45))</f>
        <v>109.2887098836466</v>
      </c>
      <c r="P45" s="4">
        <f>AVERAGE(ParseTime(RunTime1!F45),ParseTime(RunTime2!F45),ParseTime(RunTime3!F45),ParseTime(RunTime4!F45))
/
AVERAGE(ParseTime(RunTime1!I45),ParseTime(RunTime2!I45),ParseTime(RunTime3!I45),ParseTime(RunTime4!I45))</f>
        <v>97.440378476972185</v>
      </c>
      <c r="Q45" s="4">
        <f>AVERAGE(ParseTime(RunTime1!H45),ParseTime(RunTime2!H45),ParseTime(RunTime3!H45),ParseTime(RunTime4!H45))
/
AVERAGE(ParseTime(RunTime1!J45),ParseTime(RunTime2!J45),ParseTime(RunTime3!J45),ParseTime(RunTime4!J45))</f>
        <v>0.4310190512722159</v>
      </c>
      <c r="R45" s="4">
        <f>AVERAGE(ParseTime(RunTime1!G45),ParseTime(RunTime2!G45),ParseTime(RunTime3!G45),ParseTime(RunTime4!G45))
/
AVERAGE(ParseTime(RunTime1!I45),ParseTime(RunTime2!I45),ParseTime(RunTime3!I45),ParseTime(RunTime4!I45))</f>
        <v>0.39215686274509803</v>
      </c>
      <c r="S45" s="4">
        <f>AVERAGE(ParseTime(RunTime1!H45),ParseTime(RunTime2!H45),ParseTime(RunTime3!H45),ParseTime(RunTime4!H45))
/
AVERAGE(ParseTime(RunTime1!I45),ParseTime(RunTime2!I45),ParseTime(RunTime3!I45),ParseTime(RunTime4!I45))</f>
        <v>0.38429092567259465</v>
      </c>
      <c r="T45" s="4">
        <f>AVERAGE(ParseTime(RunTime1!G45),ParseTime(RunTime2!G45),ParseTime(RunTime3!G45),ParseTime(RunTime4!G45))
/
AVERAGE(ParseTime(RunTime1!J45),ParseTime(RunTime2!J45),ParseTime(RunTime3!J45),ParseTime(RunTime4!J45))</f>
        <v>0.43984145249968037</v>
      </c>
      <c r="U45" t="s">
        <v>18</v>
      </c>
    </row>
    <row r="46" spans="1:21" x14ac:dyDescent="0.25">
      <c r="A46" t="s">
        <v>294</v>
      </c>
      <c r="B46" t="s">
        <v>283</v>
      </c>
      <c r="C46" t="s">
        <v>11</v>
      </c>
      <c r="D46" s="1">
        <v>90969</v>
      </c>
      <c r="E46">
        <v>1</v>
      </c>
      <c r="F46" t="s">
        <v>284</v>
      </c>
      <c r="G46" t="s">
        <v>285</v>
      </c>
      <c r="H46" t="s">
        <v>255</v>
      </c>
      <c r="I46" t="s">
        <v>1007</v>
      </c>
      <c r="J46" t="s">
        <v>1052</v>
      </c>
      <c r="K46" t="s">
        <v>178</v>
      </c>
      <c r="L46" t="s">
        <v>286</v>
      </c>
      <c r="M46" t="s">
        <v>287</v>
      </c>
      <c r="N46" t="s">
        <v>1059</v>
      </c>
      <c r="O46" s="4">
        <f>AVERAGE(ParseTime(RunTime1!F46),ParseTime(RunTime2!F46),ParseTime(RunTime3!F46),ParseTime(RunTime4!F46))
/
AVERAGE(ParseTime(RunTime1!J46),ParseTime(RunTime2!J46),ParseTime(RunTime3!J46),ParseTime(RunTime4!J46))</f>
        <v>2.4405449237755432</v>
      </c>
      <c r="P46" s="4">
        <f>AVERAGE(ParseTime(RunTime1!F46),ParseTime(RunTime2!F46),ParseTime(RunTime3!F46),ParseTime(RunTime4!F46))
/
AVERAGE(ParseTime(RunTime1!I46),ParseTime(RunTime2!I46),ParseTime(RunTime3!I46),ParseTime(RunTime4!I46))</f>
        <v>2.9258827189298491</v>
      </c>
      <c r="Q46" s="4">
        <f>AVERAGE(ParseTime(RunTime1!H46),ParseTime(RunTime2!H46),ParseTime(RunTime3!H46),ParseTime(RunTime4!H46))
/
AVERAGE(ParseTime(RunTime1!J46),ParseTime(RunTime2!J46),ParseTime(RunTime3!J46),ParseTime(RunTime4!J46))</f>
        <v>0.67434317223483609</v>
      </c>
      <c r="R46" s="4">
        <f>AVERAGE(ParseTime(RunTime1!G46),ParseTime(RunTime2!G46),ParseTime(RunTime3!G46),ParseTime(RunTime4!G46))
/
AVERAGE(ParseTime(RunTime1!I46),ParseTime(RunTime2!I46),ParseTime(RunTime3!I46),ParseTime(RunTime4!I46))</f>
        <v>0.82827811479234714</v>
      </c>
      <c r="S46" s="4">
        <f>AVERAGE(ParseTime(RunTime1!H46),ParseTime(RunTime2!H46),ParseTime(RunTime3!H46),ParseTime(RunTime4!H46))
/
AVERAGE(ParseTime(RunTime1!I46),ParseTime(RunTime2!I46),ParseTime(RunTime3!I46),ParseTime(RunTime4!I46))</f>
        <v>0.80844610359309377</v>
      </c>
      <c r="T46" s="4">
        <f>AVERAGE(ParseTime(RunTime1!G46),ParseTime(RunTime2!G46),ParseTime(RunTime3!G46),ParseTime(RunTime4!G46))
/
AVERAGE(ParseTime(RunTime1!J46),ParseTime(RunTime2!J46),ParseTime(RunTime3!J46),ParseTime(RunTime4!J46))</f>
        <v>0.69088550113525782</v>
      </c>
      <c r="U46" t="s">
        <v>18</v>
      </c>
    </row>
    <row r="47" spans="1:21" x14ac:dyDescent="0.25">
      <c r="A47" t="s">
        <v>294</v>
      </c>
      <c r="B47" t="s">
        <v>283</v>
      </c>
      <c r="C47" t="s">
        <v>19</v>
      </c>
      <c r="D47" s="1">
        <v>127106</v>
      </c>
      <c r="E47">
        <v>2</v>
      </c>
      <c r="F47" t="s">
        <v>288</v>
      </c>
      <c r="G47" t="s">
        <v>289</v>
      </c>
      <c r="H47" t="s">
        <v>290</v>
      </c>
      <c r="I47" t="s">
        <v>1008</v>
      </c>
      <c r="J47" t="s">
        <v>1053</v>
      </c>
      <c r="K47" t="s">
        <v>111</v>
      </c>
      <c r="L47" t="s">
        <v>291</v>
      </c>
      <c r="M47" t="s">
        <v>292</v>
      </c>
      <c r="N47" t="s">
        <v>47</v>
      </c>
      <c r="O47" s="4">
        <f>AVERAGE(ParseTime(RunTime1!F47),ParseTime(RunTime2!F47),ParseTime(RunTime3!F47),ParseTime(RunTime4!F47))
/
AVERAGE(ParseTime(RunTime1!J47),ParseTime(RunTime2!J47),ParseTime(RunTime3!J47),ParseTime(RunTime4!J47))</f>
        <v>4.5500194881122527</v>
      </c>
      <c r="P47" s="4">
        <f>AVERAGE(ParseTime(RunTime1!F47),ParseTime(RunTime2!F47),ParseTime(RunTime3!F47),ParseTime(RunTime4!F47))
/
AVERAGE(ParseTime(RunTime1!I47),ParseTime(RunTime2!I47),ParseTime(RunTime3!I47),ParseTime(RunTime4!I47))</f>
        <v>4.2722171393717598</v>
      </c>
      <c r="Q47" s="4">
        <f>AVERAGE(ParseTime(RunTime1!H47),ParseTime(RunTime2!H47),ParseTime(RunTime3!H47),ParseTime(RunTime4!H47))
/
AVERAGE(ParseTime(RunTime1!J47),ParseTime(RunTime2!J47),ParseTime(RunTime3!J47),ParseTime(RunTime4!J47))</f>
        <v>1.2289203585812656</v>
      </c>
      <c r="R47" s="4">
        <f>AVERAGE(ParseTime(RunTime1!G47),ParseTime(RunTime2!G47),ParseTime(RunTime3!G47),ParseTime(RunTime4!G47))
/
AVERAGE(ParseTime(RunTime1!I47),ParseTime(RunTime2!I47),ParseTime(RunTime3!I47),ParseTime(RunTime4!I47))</f>
        <v>0.56078072583104599</v>
      </c>
      <c r="S47" s="4">
        <f>AVERAGE(ParseTime(RunTime1!H47),ParseTime(RunTime2!H47),ParseTime(RunTime3!H47),ParseTime(RunTime4!H47))
/
AVERAGE(ParseTime(RunTime1!I47),ParseTime(RunTime2!I47),ParseTime(RunTime3!I47),ParseTime(RunTime4!I47))</f>
        <v>1.1538883806038427</v>
      </c>
      <c r="T47" s="4">
        <f>AVERAGE(ParseTime(RunTime1!G47),ParseTime(RunTime2!G47),ParseTime(RunTime3!G47),ParseTime(RunTime4!G47))
/
AVERAGE(ParseTime(RunTime1!J47),ParseTime(RunTime2!J47),ParseTime(RunTime3!J47),ParseTime(RunTime4!J47))</f>
        <v>0.59724568013511758</v>
      </c>
      <c r="U4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4CD0-2DC5-43FD-9811-C3B8F9B029BE}">
  <sheetPr codeName="Sheet2"/>
  <dimension ref="A1:U47"/>
  <sheetViews>
    <sheetView topLeftCell="G1" workbookViewId="0">
      <selection activeCell="Q8" sqref="Q8"/>
    </sheetView>
  </sheetViews>
  <sheetFormatPr defaultRowHeight="15" x14ac:dyDescent="0.25"/>
  <cols>
    <col min="4" max="4" width="20.140625" customWidth="1"/>
  </cols>
  <sheetData>
    <row r="1" spans="1:21" x14ac:dyDescent="0.25">
      <c r="A1" t="s">
        <v>293</v>
      </c>
      <c r="B1" t="s">
        <v>0</v>
      </c>
      <c r="C1" t="s">
        <v>1</v>
      </c>
      <c r="D1" t="s">
        <v>295</v>
      </c>
      <c r="E1" t="s">
        <v>2</v>
      </c>
      <c r="F1" t="s">
        <v>3</v>
      </c>
      <c r="G1" t="s">
        <v>4</v>
      </c>
      <c r="H1" t="s">
        <v>5</v>
      </c>
      <c r="I1" t="s">
        <v>964</v>
      </c>
      <c r="J1" t="s">
        <v>1009</v>
      </c>
      <c r="K1" t="s">
        <v>6</v>
      </c>
      <c r="L1" t="s">
        <v>7</v>
      </c>
      <c r="M1" t="s">
        <v>8</v>
      </c>
      <c r="N1" t="s">
        <v>1054</v>
      </c>
      <c r="O1" t="s">
        <v>1322</v>
      </c>
      <c r="P1" t="s">
        <v>1317</v>
      </c>
      <c r="Q1" t="s">
        <v>1318</v>
      </c>
      <c r="R1" t="s">
        <v>1320</v>
      </c>
      <c r="S1" t="s">
        <v>1319</v>
      </c>
      <c r="T1" t="s">
        <v>1321</v>
      </c>
      <c r="U1" t="s">
        <v>9</v>
      </c>
    </row>
    <row r="2" spans="1:21" x14ac:dyDescent="0.25">
      <c r="A2" t="s">
        <v>294</v>
      </c>
      <c r="B2" t="s">
        <v>10</v>
      </c>
      <c r="C2" t="s">
        <v>11</v>
      </c>
      <c r="D2" s="1">
        <v>319247</v>
      </c>
      <c r="E2">
        <v>2</v>
      </c>
      <c r="F2" t="s">
        <v>298</v>
      </c>
      <c r="G2" t="s">
        <v>299</v>
      </c>
      <c r="H2" t="s">
        <v>300</v>
      </c>
      <c r="I2" t="s">
        <v>1060</v>
      </c>
      <c r="J2" t="s">
        <v>1101</v>
      </c>
      <c r="K2" t="s">
        <v>301</v>
      </c>
      <c r="L2" t="s">
        <v>302</v>
      </c>
      <c r="M2" t="s">
        <v>303</v>
      </c>
      <c r="N2" t="s">
        <v>1059</v>
      </c>
      <c r="O2" s="4">
        <f>AVERAGE(ParseTime(RunTime1!F2),ParseTime(RunTime2!F2),ParseTime(RunTime3!F2),ParseTime(RunTime4!F2))
/
AVERAGE(ParseTime(RunTime1!J2),ParseTime(RunTime2!J2),ParseTime(RunTime3!J2),ParseTime(RunTime4!J2))</f>
        <v>140.80047407630371</v>
      </c>
      <c r="P2" s="4">
        <f>AVERAGE(ParseTime(RunTime1!F2),ParseTime(RunTime2!F2),ParseTime(RunTime3!F2),ParseTime(RunTime4!F2))
/
AVERAGE(ParseTime(RunTime1!I2),ParseTime(RunTime2!I2),ParseTime(RunTime3!I2),ParseTime(RunTime4!I2))</f>
        <v>150.16231290879176</v>
      </c>
      <c r="Q2" s="4">
        <f>AVERAGE(ParseTime(RunTime1!H2),ParseTime(RunTime2!H2),ParseTime(RunTime3!H2),ParseTime(RunTime4!H2))
/
AVERAGE(ParseTime(RunTime1!J2),ParseTime(RunTime2!J2),ParseTime(RunTime3!J2),ParseTime(RunTime4!J2))</f>
        <v>1.0387538565731056</v>
      </c>
      <c r="R2" s="4">
        <f>AVERAGE(ParseTime(RunTime1!G2),ParseTime(RunTime2!G2),ParseTime(RunTime3!G2),ParseTime(RunTime4!G2))
/
AVERAGE(ParseTime(RunTime1!I2),ParseTime(RunTime2!I2),ParseTime(RunTime3!I2),ParseTime(RunTime4!I2))</f>
        <v>1.0428152963364232</v>
      </c>
      <c r="S2" s="4">
        <f>AVERAGE(ParseTime(RunTime1!H2),ParseTime(RunTime2!H2),ParseTime(RunTime3!H2),ParseTime(RunTime4!H2))
/
AVERAGE(ParseTime(RunTime1!I2),ParseTime(RunTime2!I2),ParseTime(RunTime3!I2),ParseTime(RunTime4!I2))</f>
        <v>1.1078207134545162</v>
      </c>
      <c r="T2" s="4">
        <f>AVERAGE(ParseTime(RunTime1!G2),ParseTime(RunTime2!G2),ParseTime(RunTime3!G2),ParseTime(RunTime4!G2))
/
AVERAGE(ParseTime(RunTime1!J2),ParseTime(RunTime2!J2),ParseTime(RunTime3!J2),ParseTime(RunTime4!J2))</f>
        <v>0.97780118895326973</v>
      </c>
      <c r="U2" t="s">
        <v>18</v>
      </c>
    </row>
    <row r="3" spans="1:21" x14ac:dyDescent="0.25">
      <c r="A3" t="s">
        <v>294</v>
      </c>
      <c r="B3" t="s">
        <v>10</v>
      </c>
      <c r="C3" t="s">
        <v>19</v>
      </c>
      <c r="D3" s="1">
        <v>316061</v>
      </c>
      <c r="E3">
        <v>2</v>
      </c>
      <c r="F3" t="s">
        <v>304</v>
      </c>
      <c r="G3" t="s">
        <v>305</v>
      </c>
      <c r="H3" t="s">
        <v>306</v>
      </c>
      <c r="I3" t="s">
        <v>1061</v>
      </c>
      <c r="J3" t="s">
        <v>1102</v>
      </c>
      <c r="K3" t="s">
        <v>178</v>
      </c>
      <c r="L3" t="s">
        <v>307</v>
      </c>
      <c r="M3" t="s">
        <v>308</v>
      </c>
      <c r="N3" t="s">
        <v>347</v>
      </c>
      <c r="O3" s="4">
        <f>AVERAGE(ParseTime(RunTime1!F3),ParseTime(RunTime2!F3),ParseTime(RunTime3!F3),ParseTime(RunTime4!F3))
/
AVERAGE(ParseTime(RunTime1!J3),ParseTime(RunTime2!J3),ParseTime(RunTime3!J3),ParseTime(RunTime4!J3))</f>
        <v>121.73840735668163</v>
      </c>
      <c r="P3" s="4">
        <f>AVERAGE(ParseTime(RunTime1!F3),ParseTime(RunTime2!F3),ParseTime(RunTime3!F3),ParseTime(RunTime4!F3))
/
AVERAGE(ParseTime(RunTime1!I3),ParseTime(RunTime2!I3),ParseTime(RunTime3!I3),ParseTime(RunTime4!I3))</f>
        <v>131.53883556720643</v>
      </c>
      <c r="Q3" s="4">
        <f>AVERAGE(ParseTime(RunTime1!H3),ParseTime(RunTime2!H3),ParseTime(RunTime3!H3),ParseTime(RunTime4!H3))
/
AVERAGE(ParseTime(RunTime1!J3),ParseTime(RunTime2!J3),ParseTime(RunTime3!J3),ParseTime(RunTime4!J3))</f>
        <v>0.9483858344746624</v>
      </c>
      <c r="R3" s="4">
        <f>AVERAGE(ParseTime(RunTime1!G3),ParseTime(RunTime2!G3),ParseTime(RunTime3!G3),ParseTime(RunTime4!G3))
/
AVERAGE(ParseTime(RunTime1!I3),ParseTime(RunTime2!I3),ParseTime(RunTime3!I3),ParseTime(RunTime4!I3))</f>
        <v>1.1331021944103845</v>
      </c>
      <c r="S3" s="4">
        <f>AVERAGE(ParseTime(RunTime1!H3),ParseTime(RunTime2!H3),ParseTime(RunTime3!H3),ParseTime(RunTime4!H3))
/
AVERAGE(ParseTime(RunTime1!I3),ParseTime(RunTime2!I3),ParseTime(RunTime3!I3),ParseTime(RunTime4!I3))</f>
        <v>1.0247346835228954</v>
      </c>
      <c r="T3" s="4">
        <f>AVERAGE(ParseTime(RunTime1!G3),ParseTime(RunTime2!G3),ParseTime(RunTime3!G3),ParseTime(RunTime4!G3))
/
AVERAGE(ParseTime(RunTime1!J3),ParseTime(RunTime2!J3),ParseTime(RunTime3!J3),ParseTime(RunTime4!J3))</f>
        <v>1.0486793191156329</v>
      </c>
      <c r="U3" t="s">
        <v>18</v>
      </c>
    </row>
    <row r="4" spans="1:21" x14ac:dyDescent="0.25">
      <c r="A4" t="s">
        <v>294</v>
      </c>
      <c r="B4" t="s">
        <v>26</v>
      </c>
      <c r="C4" t="s">
        <v>11</v>
      </c>
      <c r="D4" s="1">
        <v>328730</v>
      </c>
      <c r="E4">
        <v>2</v>
      </c>
      <c r="F4" t="s">
        <v>309</v>
      </c>
      <c r="G4" t="s">
        <v>310</v>
      </c>
      <c r="H4" t="s">
        <v>311</v>
      </c>
      <c r="I4" t="s">
        <v>1062</v>
      </c>
      <c r="J4" t="s">
        <v>1103</v>
      </c>
      <c r="K4" t="s">
        <v>312</v>
      </c>
      <c r="L4" t="s">
        <v>313</v>
      </c>
      <c r="M4" t="s">
        <v>314</v>
      </c>
      <c r="N4" t="s">
        <v>30</v>
      </c>
      <c r="O4" s="4">
        <f>AVERAGE(ParseTime(RunTime1!F4),ParseTime(RunTime2!F4),ParseTime(RunTime3!F4),ParseTime(RunTime4!F4))
/
AVERAGE(ParseTime(RunTime1!J4),ParseTime(RunTime2!J4),ParseTime(RunTime3!J4),ParseTime(RunTime4!J4))</f>
        <v>2.2017178850925747</v>
      </c>
      <c r="P4" s="4">
        <f>AVERAGE(ParseTime(RunTime1!F4),ParseTime(RunTime2!F4),ParseTime(RunTime3!F4),ParseTime(RunTime4!F4))
/
AVERAGE(ParseTime(RunTime1!I4),ParseTime(RunTime2!I4),ParseTime(RunTime3!I4),ParseTime(RunTime4!I4))</f>
        <v>2.4598652222127444</v>
      </c>
      <c r="Q4" s="4">
        <f>AVERAGE(ParseTime(RunTime1!H4),ParseTime(RunTime2!H4),ParseTime(RunTime3!H4),ParseTime(RunTime4!H4))
/
AVERAGE(ParseTime(RunTime1!J4),ParseTime(RunTime2!J4),ParseTime(RunTime3!J4),ParseTime(RunTime4!J4))</f>
        <v>0.75697652223706813</v>
      </c>
      <c r="R4" s="4">
        <f>AVERAGE(ParseTime(RunTime1!G4),ParseTime(RunTime2!G4),ParseTime(RunTime3!G4),ParseTime(RunTime4!G4))
/
AVERAGE(ParseTime(RunTime1!I4),ParseTime(RunTime2!I4),ParseTime(RunTime3!I4),ParseTime(RunTime4!I4))</f>
        <v>1.1201057749722769</v>
      </c>
      <c r="S4" s="4">
        <f>AVERAGE(ParseTime(RunTime1!H4),ParseTime(RunTime2!H4),ParseTime(RunTime3!H4),ParseTime(RunTime4!H4))
/
AVERAGE(ParseTime(RunTime1!I4),ParseTime(RunTime2!I4),ParseTime(RunTime3!I4),ParseTime(RunTime4!I4))</f>
        <v>0.84573061503028246</v>
      </c>
      <c r="T4" s="4">
        <f>AVERAGE(ParseTime(RunTime1!G4),ParseTime(RunTime2!G4),ParseTime(RunTime3!G4),ParseTime(RunTime4!G4))
/
AVERAGE(ParseTime(RunTime1!J4),ParseTime(RunTime2!J4),ParseTime(RunTime3!J4),ParseTime(RunTime4!J4))</f>
        <v>1.0025577400267227</v>
      </c>
      <c r="U4" t="s">
        <v>18</v>
      </c>
    </row>
    <row r="5" spans="1:21" x14ac:dyDescent="0.25">
      <c r="A5" t="s">
        <v>294</v>
      </c>
      <c r="B5" t="s">
        <v>26</v>
      </c>
      <c r="C5" t="s">
        <v>19</v>
      </c>
      <c r="D5" s="1">
        <v>335402</v>
      </c>
      <c r="E5">
        <v>2</v>
      </c>
      <c r="F5" t="s">
        <v>33</v>
      </c>
      <c r="G5" t="s">
        <v>315</v>
      </c>
      <c r="H5" t="s">
        <v>316</v>
      </c>
      <c r="I5" t="s">
        <v>1063</v>
      </c>
      <c r="J5" t="s">
        <v>1104</v>
      </c>
      <c r="K5" t="s">
        <v>317</v>
      </c>
      <c r="L5" t="s">
        <v>33</v>
      </c>
      <c r="M5" t="s">
        <v>33</v>
      </c>
      <c r="N5" t="s">
        <v>347</v>
      </c>
      <c r="O5" s="4" t="s">
        <v>33</v>
      </c>
      <c r="P5" s="4" t="s">
        <v>33</v>
      </c>
      <c r="Q5" s="4">
        <f>AVERAGE(ParseTime(RunTime1!H5),ParseTime(RunTime2!H5),ParseTime(RunTime3!H5),ParseTime(RunTime4!H5))
/
AVERAGE(ParseTime(RunTime1!J5),ParseTime(RunTime2!J5),ParseTime(RunTime3!J5),ParseTime(RunTime4!J5))</f>
        <v>1.1001145172656799</v>
      </c>
      <c r="R5" s="4">
        <f>AVERAGE(ParseTime(RunTime1!G5),ParseTime(RunTime2!G5),ParseTime(RunTime3!G5),ParseTime(RunTime4!G5))
/
AVERAGE(ParseTime(RunTime1!I5),ParseTime(RunTime2!I5),ParseTime(RunTime3!I5),ParseTime(RunTime4!I5))</f>
        <v>0.79399302093718849</v>
      </c>
      <c r="S5" s="4">
        <f>AVERAGE(ParseTime(RunTime1!H5),ParseTime(RunTime2!H5),ParseTime(RunTime3!H5),ParseTime(RunTime4!H5))
/
AVERAGE(ParseTime(RunTime1!I5),ParseTime(RunTime2!I5),ParseTime(RunTime3!I5),ParseTime(RunTime4!I5))</f>
        <v>1.0375955466932534</v>
      </c>
      <c r="T5" s="4">
        <f>AVERAGE(ParseTime(RunTime1!G5),ParseTime(RunTime2!G5),ParseTime(RunTime3!G5),ParseTime(RunTime4!G5))
/
AVERAGE(ParseTime(RunTime1!J5),ParseTime(RunTime2!J5),ParseTime(RunTime3!J5),ParseTime(RunTime4!J5))</f>
        <v>0.84183403805496826</v>
      </c>
      <c r="U5" t="s">
        <v>297</v>
      </c>
    </row>
    <row r="6" spans="1:21" x14ac:dyDescent="0.25">
      <c r="A6" t="s">
        <v>294</v>
      </c>
      <c r="B6" t="s">
        <v>37</v>
      </c>
      <c r="C6" t="s">
        <v>11</v>
      </c>
      <c r="D6" s="1">
        <v>284815</v>
      </c>
      <c r="E6">
        <v>2</v>
      </c>
      <c r="F6" t="s">
        <v>318</v>
      </c>
      <c r="G6" t="s">
        <v>319</v>
      </c>
      <c r="H6" t="s">
        <v>320</v>
      </c>
      <c r="I6" t="s">
        <v>1064</v>
      </c>
      <c r="J6" t="s">
        <v>1105</v>
      </c>
      <c r="K6" t="s">
        <v>30</v>
      </c>
      <c r="L6" t="s">
        <v>321</v>
      </c>
      <c r="M6" t="s">
        <v>105</v>
      </c>
      <c r="N6" t="s">
        <v>818</v>
      </c>
      <c r="O6" s="4">
        <f>AVERAGE(ParseTime(RunTime1!F6),ParseTime(RunTime2!F6),ParseTime(RunTime3!F6),ParseTime(RunTime4!F6))
/
AVERAGE(ParseTime(RunTime1!J6),ParseTime(RunTime2!J6),ParseTime(RunTime3!J6),ParseTime(RunTime4!J6))</f>
        <v>1.4791843670348341</v>
      </c>
      <c r="P6" s="4">
        <f>AVERAGE(ParseTime(RunTime1!F6),ParseTime(RunTime2!F6),ParseTime(RunTime3!F6),ParseTime(RunTime4!F6))
/
AVERAGE(ParseTime(RunTime1!I6),ParseTime(RunTime2!I6),ParseTime(RunTime3!I6),ParseTime(RunTime4!I6))</f>
        <v>1.8409365558912387</v>
      </c>
      <c r="Q6" s="4">
        <f>AVERAGE(ParseTime(RunTime1!H6),ParseTime(RunTime2!H6),ParseTime(RunTime3!H6),ParseTime(RunTime4!H6))
/
AVERAGE(ParseTime(RunTime1!J6),ParseTime(RunTime2!J6),ParseTime(RunTime3!J6),ParseTime(RunTime4!J6))</f>
        <v>0.99510458388963052</v>
      </c>
      <c r="R6" s="4">
        <f>AVERAGE(ParseTime(RunTime1!G6),ParseTime(RunTime2!G6),ParseTime(RunTime3!G6),ParseTime(RunTime4!G6))
/
AVERAGE(ParseTime(RunTime1!I6),ParseTime(RunTime2!I6),ParseTime(RunTime3!I6),ParseTime(RunTime4!I6))</f>
        <v>0.92628398791540789</v>
      </c>
      <c r="S6" s="4">
        <f>AVERAGE(ParseTime(RunTime1!H6),ParseTime(RunTime2!H6),ParseTime(RunTime3!H6),ParseTime(RunTime4!H6))
/
AVERAGE(ParseTime(RunTime1!I6),ParseTime(RunTime2!I6),ParseTime(RunTime3!I6),ParseTime(RunTime4!I6))</f>
        <v>1.2384692849949648</v>
      </c>
      <c r="T6" s="4">
        <f>AVERAGE(ParseTime(RunTime1!G6),ParseTime(RunTime2!G6),ParseTime(RunTime3!G6),ParseTime(RunTime4!G6))
/
AVERAGE(ParseTime(RunTime1!J6),ParseTime(RunTime2!J6),ParseTime(RunTime3!J6),ParseTime(RunTime4!J6))</f>
        <v>0.74426508071367881</v>
      </c>
      <c r="U6" t="s">
        <v>18</v>
      </c>
    </row>
    <row r="7" spans="1:21" x14ac:dyDescent="0.25">
      <c r="A7" t="s">
        <v>294</v>
      </c>
      <c r="B7" t="s">
        <v>37</v>
      </c>
      <c r="C7" t="s">
        <v>19</v>
      </c>
      <c r="D7" s="1">
        <v>280114</v>
      </c>
      <c r="E7">
        <v>2</v>
      </c>
      <c r="F7" t="s">
        <v>322</v>
      </c>
      <c r="G7" t="s">
        <v>323</v>
      </c>
      <c r="H7" t="s">
        <v>324</v>
      </c>
      <c r="I7" t="s">
        <v>1065</v>
      </c>
      <c r="J7" t="s">
        <v>552</v>
      </c>
      <c r="K7" t="s">
        <v>325</v>
      </c>
      <c r="L7" t="s">
        <v>326</v>
      </c>
      <c r="M7" t="s">
        <v>327</v>
      </c>
      <c r="N7" t="s">
        <v>1059</v>
      </c>
      <c r="O7" s="4">
        <f>AVERAGE(ParseTime(RunTime1!F7),ParseTime(RunTime2!F7),ParseTime(RunTime3!F7),ParseTime(RunTime4!F7))
/
AVERAGE(ParseTime(RunTime1!J7),ParseTime(RunTime2!J7),ParseTime(RunTime3!J7),ParseTime(RunTime4!J7))</f>
        <v>0.58038041765733772</v>
      </c>
      <c r="P7" s="4">
        <f>AVERAGE(ParseTime(RunTime1!F7),ParseTime(RunTime2!F7),ParseTime(RunTime3!F7),ParseTime(RunTime4!F7))
/
AVERAGE(ParseTime(RunTime1!I7),ParseTime(RunTime2!I7),ParseTime(RunTime3!I7),ParseTime(RunTime4!I7))</f>
        <v>1.900698907078193</v>
      </c>
      <c r="Q7" s="4">
        <f>AVERAGE(ParseTime(RunTime1!H7),ParseTime(RunTime2!H7),ParseTime(RunTime3!H7),ParseTime(RunTime4!H7))
/
AVERAGE(ParseTime(RunTime1!J7),ParseTime(RunTime2!J7),ParseTime(RunTime3!J7),ParseTime(RunTime4!J7))</f>
        <v>0.2914721132086282</v>
      </c>
      <c r="R7" s="4">
        <f>AVERAGE(ParseTime(RunTime1!G7),ParseTime(RunTime2!G7),ParseTime(RunTime3!G7),ParseTime(RunTime4!G7))
/
AVERAGE(ParseTime(RunTime1!I7),ParseTime(RunTime2!I7),ParseTime(RunTime3!I7),ParseTime(RunTime4!I7))</f>
        <v>0.74797129321262712</v>
      </c>
      <c r="S7" s="4">
        <f>AVERAGE(ParseTime(RunTime1!H7),ParseTime(RunTime2!H7),ParseTime(RunTime3!H7),ParseTime(RunTime4!H7))
/
AVERAGE(ParseTime(RunTime1!I7),ParseTime(RunTime2!I7),ParseTime(RunTime3!I7),ParseTime(RunTime4!I7))</f>
        <v>0.95454758665978701</v>
      </c>
      <c r="T7" s="4">
        <f>AVERAGE(ParseTime(RunTime1!G7),ParseTime(RunTime2!G7),ParseTime(RunTime3!G7),ParseTime(RunTime4!G7))
/
AVERAGE(ParseTime(RunTime1!J7),ParseTime(RunTime2!J7),ParseTime(RunTime3!J7),ParseTime(RunTime4!J7))</f>
        <v>0.22839382394224986</v>
      </c>
      <c r="U7" t="s">
        <v>18</v>
      </c>
    </row>
    <row r="8" spans="1:21" x14ac:dyDescent="0.25">
      <c r="A8" t="s">
        <v>294</v>
      </c>
      <c r="B8" t="s">
        <v>50</v>
      </c>
      <c r="C8" t="s">
        <v>11</v>
      </c>
      <c r="D8" s="1">
        <v>306846</v>
      </c>
      <c r="E8">
        <v>2</v>
      </c>
      <c r="F8" t="s">
        <v>328</v>
      </c>
      <c r="G8" t="s">
        <v>329</v>
      </c>
      <c r="H8" t="s">
        <v>330</v>
      </c>
      <c r="I8" t="s">
        <v>1066</v>
      </c>
      <c r="J8" t="s">
        <v>1106</v>
      </c>
      <c r="K8" t="s">
        <v>331</v>
      </c>
      <c r="L8" t="s">
        <v>332</v>
      </c>
      <c r="M8" t="s">
        <v>55</v>
      </c>
      <c r="N8" t="s">
        <v>594</v>
      </c>
      <c r="O8" s="4">
        <f>AVERAGE(ParseTime(RunTime1!F8),ParseTime(RunTime2!F8),ParseTime(RunTime3!F8),ParseTime(RunTime4!F8))
/
AVERAGE(ParseTime(RunTime1!J8),ParseTime(RunTime2!J8),ParseTime(RunTime3!J8),ParseTime(RunTime4!J8))</f>
        <v>1.7187417625867674</v>
      </c>
      <c r="P8" s="4">
        <f>AVERAGE(ParseTime(RunTime1!F8),ParseTime(RunTime2!F8),ParseTime(RunTime3!F8),ParseTime(RunTime4!F8))
/
AVERAGE(ParseTime(RunTime1!I8),ParseTime(RunTime2!I8),ParseTime(RunTime3!I8),ParseTime(RunTime4!I8))</f>
        <v>2.001944529730836</v>
      </c>
      <c r="Q8" s="4">
        <f>AVERAGE(ParseTime(RunTime1!H8),ParseTime(RunTime2!H8),ParseTime(RunTime3!H8),ParseTime(RunTime4!H8))
/
AVERAGE(ParseTime(RunTime1!J8),ParseTime(RunTime2!J8),ParseTime(RunTime3!J8),ParseTime(RunTime4!J8))</f>
        <v>0.73508479044020736</v>
      </c>
      <c r="R8" s="4">
        <f>AVERAGE(ParseTime(RunTime1!G8),ParseTime(RunTime2!G8),ParseTime(RunTime3!G8),ParseTime(RunTime4!G8))
/
AVERAGE(ParseTime(RunTime1!I8),ParseTime(RunTime2!I8),ParseTime(RunTime3!I8),ParseTime(RunTime4!I8))</f>
        <v>0.92887114931941461</v>
      </c>
      <c r="S8" s="4">
        <f>AVERAGE(ParseTime(RunTime1!H8),ParseTime(RunTime2!H8),ParseTime(RunTime3!H8),ParseTime(RunTime4!H8))
/
AVERAGE(ParseTime(RunTime1!I8),ParseTime(RunTime2!I8),ParseTime(RunTime3!I8),ParseTime(RunTime4!I8))</f>
        <v>0.85620714358816896</v>
      </c>
      <c r="T8" s="4">
        <f>AVERAGE(ParseTime(RunTime1!G8),ParseTime(RunTime2!G8),ParseTime(RunTime3!G8),ParseTime(RunTime4!G8))
/
AVERAGE(ParseTime(RunTime1!J8),ParseTime(RunTime2!J8),ParseTime(RunTime3!J8),ParseTime(RunTime4!J8))</f>
        <v>0.79746946665495122</v>
      </c>
      <c r="U8" t="s">
        <v>18</v>
      </c>
    </row>
    <row r="9" spans="1:21" x14ac:dyDescent="0.25">
      <c r="A9" t="s">
        <v>294</v>
      </c>
      <c r="B9" t="s">
        <v>50</v>
      </c>
      <c r="C9" t="s">
        <v>19</v>
      </c>
      <c r="D9" s="1">
        <v>301639</v>
      </c>
      <c r="E9">
        <v>2</v>
      </c>
      <c r="F9" t="s">
        <v>333</v>
      </c>
      <c r="G9" t="s">
        <v>334</v>
      </c>
      <c r="H9" t="s">
        <v>335</v>
      </c>
      <c r="I9" t="s">
        <v>1067</v>
      </c>
      <c r="J9" t="s">
        <v>1107</v>
      </c>
      <c r="K9" t="s">
        <v>336</v>
      </c>
      <c r="L9" t="s">
        <v>337</v>
      </c>
      <c r="M9" t="s">
        <v>338</v>
      </c>
      <c r="N9" t="s">
        <v>359</v>
      </c>
      <c r="O9" s="4">
        <f>AVERAGE(ParseTime(RunTime1!F9),ParseTime(RunTime2!F9),ParseTime(RunTime3!F9),ParseTime(RunTime4!F9))
/
AVERAGE(ParseTime(RunTime1!J9),ParseTime(RunTime2!J9),ParseTime(RunTime3!J9),ParseTime(RunTime4!J9))</f>
        <v>1.4177521740725794</v>
      </c>
      <c r="P9" s="4">
        <f>AVERAGE(ParseTime(RunTime1!F9),ParseTime(RunTime2!F9),ParseTime(RunTime3!F9),ParseTime(RunTime4!F9))
/
AVERAGE(ParseTime(RunTime1!I9),ParseTime(RunTime2!I9),ParseTime(RunTime3!I9),ParseTime(RunTime4!I9))</f>
        <v>1.9071076011846007</v>
      </c>
      <c r="Q9" s="4">
        <f>AVERAGE(ParseTime(RunTime1!H9),ParseTime(RunTime2!H9),ParseTime(RunTime3!H9),ParseTime(RunTime4!H9))
/
AVERAGE(ParseTime(RunTime1!J9),ParseTime(RunTime2!J9),ParseTime(RunTime3!J9),ParseTime(RunTime4!J9))</f>
        <v>0.71654496752651076</v>
      </c>
      <c r="R9" s="4">
        <f>AVERAGE(ParseTime(RunTime1!G9),ParseTime(RunTime2!G9),ParseTime(RunTime3!G9),ParseTime(RunTime4!G9))
/
AVERAGE(ParseTime(RunTime1!I9),ParseTime(RunTime2!I9),ParseTime(RunTime3!I9),ParseTime(RunTime4!I9))</f>
        <v>0.75918065153010861</v>
      </c>
      <c r="S9" s="4">
        <f>AVERAGE(ParseTime(RunTime1!H9),ParseTime(RunTime2!H9),ParseTime(RunTime3!H9),ParseTime(RunTime4!H9))
/
AVERAGE(ParseTime(RunTime1!I9),ParseTime(RunTime2!I9),ParseTime(RunTime3!I9),ParseTime(RunTime4!I9))</f>
        <v>0.96386969397828237</v>
      </c>
      <c r="T9" s="4">
        <f>AVERAGE(ParseTime(RunTime1!G9),ParseTime(RunTime2!G9),ParseTime(RunTime3!G9),ParseTime(RunTime4!G9))
/
AVERAGE(ParseTime(RunTime1!J9),ParseTime(RunTime2!J9),ParseTime(RunTime3!J9),ParseTime(RunTime4!J9))</f>
        <v>0.56437823358896266</v>
      </c>
      <c r="U9" t="s">
        <v>18</v>
      </c>
    </row>
    <row r="10" spans="1:21" x14ac:dyDescent="0.25">
      <c r="A10" t="s">
        <v>294</v>
      </c>
      <c r="B10" t="s">
        <v>63</v>
      </c>
      <c r="C10" t="s">
        <v>11</v>
      </c>
      <c r="D10" s="1">
        <v>243732</v>
      </c>
      <c r="E10">
        <v>2</v>
      </c>
      <c r="F10" t="s">
        <v>339</v>
      </c>
      <c r="G10" t="s">
        <v>340</v>
      </c>
      <c r="H10" t="s">
        <v>341</v>
      </c>
      <c r="I10" t="s">
        <v>1068</v>
      </c>
      <c r="J10" t="s">
        <v>1108</v>
      </c>
      <c r="K10" t="s">
        <v>80</v>
      </c>
      <c r="L10" t="s">
        <v>342</v>
      </c>
      <c r="M10" t="s">
        <v>343</v>
      </c>
      <c r="N10" t="s">
        <v>1144</v>
      </c>
      <c r="O10" s="4">
        <f>AVERAGE(ParseTime(RunTime1!F10),ParseTime(RunTime2!F10),ParseTime(RunTime3!F10),ParseTime(RunTime4!F10))
/
AVERAGE(ParseTime(RunTime1!J10),ParseTime(RunTime2!J10),ParseTime(RunTime3!J10),ParseTime(RunTime4!J10))</f>
        <v>2.7974368783473604</v>
      </c>
      <c r="P10" s="4">
        <f>AVERAGE(ParseTime(RunTime1!F10),ParseTime(RunTime2!F10),ParseTime(RunTime3!F10),ParseTime(RunTime4!F10))
/
AVERAGE(ParseTime(RunTime1!I10),ParseTime(RunTime2!I10),ParseTime(RunTime3!I10),ParseTime(RunTime4!I10))</f>
        <v>3.2053038189688232</v>
      </c>
      <c r="Q10" s="4">
        <f>AVERAGE(ParseTime(RunTime1!H10),ParseTime(RunTime2!H10),ParseTime(RunTime3!H10),ParseTime(RunTime4!H10))
/
AVERAGE(ParseTime(RunTime1!J10),ParseTime(RunTime2!J10),ParseTime(RunTime3!J10),ParseTime(RunTime4!J10))</f>
        <v>0.92712318286151507</v>
      </c>
      <c r="R10" s="4">
        <f>AVERAGE(ParseTime(RunTime1!G10),ParseTime(RunTime2!G10),ParseTime(RunTime3!G10),ParseTime(RunTime4!G10))
/
AVERAGE(ParseTime(RunTime1!I10),ParseTime(RunTime2!I10),ParseTime(RunTime3!I10),ParseTime(RunTime4!I10))</f>
        <v>1.0537504794257848</v>
      </c>
      <c r="S10" s="4">
        <f>AVERAGE(ParseTime(RunTime1!H10),ParseTime(RunTime2!H10),ParseTime(RunTime3!H10),ParseTime(RunTime4!H10))
/
AVERAGE(ParseTime(RunTime1!I10),ParseTime(RunTime2!I10),ParseTime(RunTime3!I10),ParseTime(RunTime4!I10))</f>
        <v>1.0622979562763684</v>
      </c>
      <c r="T10" s="4">
        <f>AVERAGE(ParseTime(RunTime1!G10),ParseTime(RunTime2!G10),ParseTime(RunTime3!G10),ParseTime(RunTime4!G10))
/
AVERAGE(ParseTime(RunTime1!J10),ParseTime(RunTime2!J10),ParseTime(RunTime3!J10),ParseTime(RunTime4!J10))</f>
        <v>0.91966335118592202</v>
      </c>
      <c r="U10" t="s">
        <v>18</v>
      </c>
    </row>
    <row r="11" spans="1:21" x14ac:dyDescent="0.25">
      <c r="A11" t="s">
        <v>294</v>
      </c>
      <c r="B11" t="s">
        <v>63</v>
      </c>
      <c r="C11" t="s">
        <v>19</v>
      </c>
      <c r="D11" s="1">
        <v>251509</v>
      </c>
      <c r="E11">
        <v>2</v>
      </c>
      <c r="F11" t="s">
        <v>344</v>
      </c>
      <c r="G11" t="s">
        <v>345</v>
      </c>
      <c r="H11" t="s">
        <v>346</v>
      </c>
      <c r="I11" t="s">
        <v>1069</v>
      </c>
      <c r="J11" t="s">
        <v>1109</v>
      </c>
      <c r="K11" t="s">
        <v>347</v>
      </c>
      <c r="L11" t="s">
        <v>348</v>
      </c>
      <c r="M11" t="s">
        <v>349</v>
      </c>
      <c r="N11" t="s">
        <v>230</v>
      </c>
      <c r="O11" s="4">
        <f>AVERAGE(ParseTime(RunTime1!F11),ParseTime(RunTime2!F11),ParseTime(RunTime3!F11),ParseTime(RunTime4!F11))
/
AVERAGE(ParseTime(RunTime1!J11),ParseTime(RunTime2!J11),ParseTime(RunTime3!J11),ParseTime(RunTime4!J11))</f>
        <v>2.8910788916980548</v>
      </c>
      <c r="P11" s="4">
        <f>AVERAGE(ParseTime(RunTime1!F11),ParseTime(RunTime2!F11),ParseTime(RunTime3!F11),ParseTime(RunTime4!F11))
/
AVERAGE(ParseTime(RunTime1!I11),ParseTime(RunTime2!I11),ParseTime(RunTime3!I11),ParseTime(RunTime4!I11))</f>
        <v>3.1998172577237165</v>
      </c>
      <c r="Q11" s="4">
        <f>AVERAGE(ParseTime(RunTime1!H11),ParseTime(RunTime2!H11),ParseTime(RunTime3!H11),ParseTime(RunTime4!H11))
/
AVERAGE(ParseTime(RunTime1!J11),ParseTime(RunTime2!J11),ParseTime(RunTime3!J11),ParseTime(RunTime4!J11))</f>
        <v>0.88468087301996801</v>
      </c>
      <c r="R11" s="4">
        <f>AVERAGE(ParseTime(RunTime1!G11),ParseTime(RunTime2!G11),ParseTime(RunTime3!G11),ParseTime(RunTime4!G11))
/
AVERAGE(ParseTime(RunTime1!I11),ParseTime(RunTime2!I11),ParseTime(RunTime3!I11),ParseTime(RunTime4!I11))</f>
        <v>0.71960481982753699</v>
      </c>
      <c r="S11" s="4">
        <f>AVERAGE(ParseTime(RunTime1!H11),ParseTime(RunTime2!H11),ParseTime(RunTime3!H11),ParseTime(RunTime4!H11))
/
AVERAGE(ParseTime(RunTime1!I11),ParseTime(RunTime2!I11),ParseTime(RunTime3!I11),ParseTime(RunTime4!I11))</f>
        <v>0.97915595911141573</v>
      </c>
      <c r="T11" s="4">
        <f>AVERAGE(ParseTime(RunTime1!G11),ParseTime(RunTime2!G11),ParseTime(RunTime3!G11),ParseTime(RunTime4!G11))
/
AVERAGE(ParseTime(RunTime1!J11),ParseTime(RunTime2!J11),ParseTime(RunTime3!J11),ParseTime(RunTime4!J11))</f>
        <v>0.65017284969815792</v>
      </c>
      <c r="U11" t="s">
        <v>18</v>
      </c>
    </row>
    <row r="12" spans="1:21" x14ac:dyDescent="0.25">
      <c r="A12" t="s">
        <v>294</v>
      </c>
      <c r="B12" t="s">
        <v>76</v>
      </c>
      <c r="C12" t="s">
        <v>11</v>
      </c>
      <c r="D12" s="1">
        <v>259612</v>
      </c>
      <c r="E12">
        <v>2</v>
      </c>
      <c r="F12" t="s">
        <v>350</v>
      </c>
      <c r="G12" t="s">
        <v>351</v>
      </c>
      <c r="H12" t="s">
        <v>352</v>
      </c>
      <c r="I12" t="s">
        <v>1070</v>
      </c>
      <c r="J12" t="s">
        <v>1110</v>
      </c>
      <c r="K12" t="s">
        <v>353</v>
      </c>
      <c r="L12" t="s">
        <v>354</v>
      </c>
      <c r="M12" t="s">
        <v>355</v>
      </c>
      <c r="N12" t="s">
        <v>178</v>
      </c>
      <c r="O12" s="4">
        <f>AVERAGE(ParseTime(RunTime1!F12),ParseTime(RunTime2!F12),ParseTime(RunTime3!F12),ParseTime(RunTime4!F12))
/
AVERAGE(ParseTime(RunTime1!J12),ParseTime(RunTime2!J12),ParseTime(RunTime3!J12),ParseTime(RunTime4!J12))</f>
        <v>1.881027827389526</v>
      </c>
      <c r="P12" s="4">
        <f>AVERAGE(ParseTime(RunTime1!F12),ParseTime(RunTime2!F12),ParseTime(RunTime3!F12),ParseTime(RunTime4!F12))
/
AVERAGE(ParseTime(RunTime1!I12),ParseTime(RunTime2!I12),ParseTime(RunTime3!I12),ParseTime(RunTime4!I12))</f>
        <v>1.9180472329925979</v>
      </c>
      <c r="Q12" s="4">
        <f>AVERAGE(ParseTime(RunTime1!H12),ParseTime(RunTime2!H12),ParseTime(RunTime3!H12),ParseTime(RunTime4!H12))
/
AVERAGE(ParseTime(RunTime1!J12),ParseTime(RunTime2!J12),ParseTime(RunTime3!J12),ParseTime(RunTime4!J12))</f>
        <v>1.0412513683240192</v>
      </c>
      <c r="R12" s="4">
        <f>AVERAGE(ParseTime(RunTime1!G12),ParseTime(RunTime2!G12),ParseTime(RunTime3!G12),ParseTime(RunTime4!G12))
/
AVERAGE(ParseTime(RunTime1!I12),ParseTime(RunTime2!I12),ParseTime(RunTime3!I12),ParseTime(RunTime4!I12))</f>
        <v>0.92492069087063811</v>
      </c>
      <c r="S12" s="4">
        <f>AVERAGE(ParseTime(RunTime1!H12),ParseTime(RunTime2!H12),ParseTime(RunTime3!H12),ParseTime(RunTime4!H12))
/
AVERAGE(ParseTime(RunTime1!I12),ParseTime(RunTime2!I12),ParseTime(RunTime3!I12),ParseTime(RunTime4!I12))</f>
        <v>1.0617436258958994</v>
      </c>
      <c r="T12" s="4">
        <f>AVERAGE(ParseTime(RunTime1!G12),ParseTime(RunTime2!G12),ParseTime(RunTime3!G12),ParseTime(RunTime4!G12))
/
AVERAGE(ParseTime(RunTime1!J12),ParseTime(RunTime2!J12),ParseTime(RunTime3!J12),ParseTime(RunTime4!J12))</f>
        <v>0.90706919398513575</v>
      </c>
      <c r="U12" t="s">
        <v>18</v>
      </c>
    </row>
    <row r="13" spans="1:21" x14ac:dyDescent="0.25">
      <c r="A13" t="s">
        <v>294</v>
      </c>
      <c r="B13" t="s">
        <v>76</v>
      </c>
      <c r="C13" t="s">
        <v>19</v>
      </c>
      <c r="D13" s="1">
        <v>265657</v>
      </c>
      <c r="E13">
        <v>2</v>
      </c>
      <c r="F13" t="s">
        <v>356</v>
      </c>
      <c r="G13" t="s">
        <v>357</v>
      </c>
      <c r="H13" t="s">
        <v>358</v>
      </c>
      <c r="I13" t="s">
        <v>1071</v>
      </c>
      <c r="J13" t="s">
        <v>1111</v>
      </c>
      <c r="K13" t="s">
        <v>359</v>
      </c>
      <c r="L13" t="s">
        <v>338</v>
      </c>
      <c r="M13" t="s">
        <v>360</v>
      </c>
      <c r="N13" t="s">
        <v>359</v>
      </c>
      <c r="O13" s="4">
        <f>AVERAGE(ParseTime(RunTime1!F13),ParseTime(RunTime2!F13),ParseTime(RunTime3!F13),ParseTime(RunTime4!F13))
/
AVERAGE(ParseTime(RunTime1!J13),ParseTime(RunTime2!J13),ParseTime(RunTime3!J13),ParseTime(RunTime4!J13))</f>
        <v>1.5287199745720383</v>
      </c>
      <c r="P13" s="4">
        <f>AVERAGE(ParseTime(RunTime1!F13),ParseTime(RunTime2!F13),ParseTime(RunTime3!F13),ParseTime(RunTime4!F13))
/
AVERAGE(ParseTime(RunTime1!I13),ParseTime(RunTime2!I13),ParseTime(RunTime3!I13),ParseTime(RunTime4!I13))</f>
        <v>2.1031359320339833</v>
      </c>
      <c r="Q13" s="4">
        <f>AVERAGE(ParseTime(RunTime1!H13),ParseTime(RunTime2!H13),ParseTime(RunTime3!H13),ParseTime(RunTime4!H13))
/
AVERAGE(ParseTime(RunTime1!J13),ParseTime(RunTime2!J13),ParseTime(RunTime3!J13),ParseTime(RunTime4!J13))</f>
        <v>0.88952458793079947</v>
      </c>
      <c r="R13" s="4">
        <f>AVERAGE(ParseTime(RunTime1!G13),ParseTime(RunTime2!G13),ParseTime(RunTime3!G13),ParseTime(RunTime4!G13))
/
AVERAGE(ParseTime(RunTime1!I13),ParseTime(RunTime2!I13),ParseTime(RunTime3!I13),ParseTime(RunTime4!I13))</f>
        <v>0.73069715142428793</v>
      </c>
      <c r="S13" s="4">
        <f>AVERAGE(ParseTime(RunTime1!H13),ParseTime(RunTime2!H13),ParseTime(RunTime3!H13),ParseTime(RunTime4!H13))
/
AVERAGE(ParseTime(RunTime1!I13),ParseTime(RunTime2!I13),ParseTime(RunTime3!I13),ParseTime(RunTime4!I13))</f>
        <v>1.2237631184407793</v>
      </c>
      <c r="T13" s="4">
        <f>AVERAGE(ParseTime(RunTime1!G13),ParseTime(RunTime2!G13),ParseTime(RunTime3!G13),ParseTime(RunTime4!G13))
/
AVERAGE(ParseTime(RunTime1!J13),ParseTime(RunTime2!J13),ParseTime(RunTime3!J13),ParseTime(RunTime4!J13))</f>
        <v>0.53112654951641469</v>
      </c>
      <c r="U13" t="s">
        <v>18</v>
      </c>
    </row>
    <row r="14" spans="1:21" x14ac:dyDescent="0.25">
      <c r="A14" t="s">
        <v>294</v>
      </c>
      <c r="B14" t="s">
        <v>89</v>
      </c>
      <c r="C14" t="s">
        <v>11</v>
      </c>
      <c r="D14" s="1">
        <v>235305</v>
      </c>
      <c r="E14">
        <v>2</v>
      </c>
      <c r="F14" t="s">
        <v>361</v>
      </c>
      <c r="G14" t="s">
        <v>362</v>
      </c>
      <c r="H14" t="s">
        <v>363</v>
      </c>
      <c r="I14" t="s">
        <v>1072</v>
      </c>
      <c r="J14" t="s">
        <v>1011</v>
      </c>
      <c r="K14" t="s">
        <v>118</v>
      </c>
      <c r="L14" t="s">
        <v>364</v>
      </c>
      <c r="M14" t="s">
        <v>365</v>
      </c>
      <c r="N14" t="s">
        <v>558</v>
      </c>
      <c r="O14" s="4">
        <f>AVERAGE(ParseTime(RunTime1!F14),ParseTime(RunTime2!F14),ParseTime(RunTime3!F14),ParseTime(RunTime4!F14))
/
AVERAGE(ParseTime(RunTime1!J14),ParseTime(RunTime2!J14),ParseTime(RunTime3!J14),ParseTime(RunTime4!J14))</f>
        <v>1.6537027888804057</v>
      </c>
      <c r="P14" s="4">
        <f>AVERAGE(ParseTime(RunTime1!F14),ParseTime(RunTime2!F14),ParseTime(RunTime3!F14),ParseTime(RunTime4!F14))
/
AVERAGE(ParseTime(RunTime1!I14),ParseTime(RunTime2!I14),ParseTime(RunTime3!I14),ParseTime(RunTime4!I14))</f>
        <v>2.3493045808345032</v>
      </c>
      <c r="Q14" s="4">
        <f>AVERAGE(ParseTime(RunTime1!H14),ParseTime(RunTime2!H14),ParseTime(RunTime3!H14),ParseTime(RunTime4!H14))
/
AVERAGE(ParseTime(RunTime1!J14),ParseTime(RunTime2!J14),ParseTime(RunTime3!J14),ParseTime(RunTime4!J14))</f>
        <v>0.69582790676786277</v>
      </c>
      <c r="R14" s="4">
        <f>AVERAGE(ParseTime(RunTime1!G14),ParseTime(RunTime2!G14),ParseTime(RunTime3!G14),ParseTime(RunTime4!G14))
/
AVERAGE(ParseTime(RunTime1!I14),ParseTime(RunTime2!I14),ParseTime(RunTime3!I14),ParseTime(RunTime4!I14))</f>
        <v>0.78422865892560933</v>
      </c>
      <c r="S14" s="4">
        <f>AVERAGE(ParseTime(RunTime1!H14),ParseTime(RunTime2!H14),ParseTime(RunTime3!H14),ParseTime(RunTime4!H14))
/
AVERAGE(ParseTime(RunTime1!I14),ParseTime(RunTime2!I14),ParseTime(RunTime3!I14),ParseTime(RunTime4!I14))</f>
        <v>0.98851601378078358</v>
      </c>
      <c r="T14" s="4">
        <f>AVERAGE(ParseTime(RunTime1!G14),ParseTime(RunTime2!G14),ParseTime(RunTime3!G14),ParseTime(RunTime4!G14))
/
AVERAGE(ParseTime(RunTime1!J14),ParseTime(RunTime2!J14),ParseTime(RunTime3!J14),ParseTime(RunTime4!J14))</f>
        <v>0.55202766425652305</v>
      </c>
      <c r="U14" t="s">
        <v>18</v>
      </c>
    </row>
    <row r="15" spans="1:21" x14ac:dyDescent="0.25">
      <c r="A15" t="s">
        <v>294</v>
      </c>
      <c r="B15" t="s">
        <v>89</v>
      </c>
      <c r="C15" t="s">
        <v>19</v>
      </c>
      <c r="D15" s="1">
        <v>233608</v>
      </c>
      <c r="E15">
        <v>2</v>
      </c>
      <c r="F15" t="s">
        <v>366</v>
      </c>
      <c r="G15" t="s">
        <v>367</v>
      </c>
      <c r="H15" t="s">
        <v>368</v>
      </c>
      <c r="I15" t="s">
        <v>1073</v>
      </c>
      <c r="J15" t="s">
        <v>1112</v>
      </c>
      <c r="K15" t="s">
        <v>369</v>
      </c>
      <c r="L15" t="s">
        <v>342</v>
      </c>
      <c r="M15" t="s">
        <v>370</v>
      </c>
      <c r="N15" t="s">
        <v>124</v>
      </c>
      <c r="O15" s="4">
        <f>AVERAGE(ParseTime(RunTime1!F15),ParseTime(RunTime2!F15),ParseTime(RunTime3!F15),ParseTime(RunTime4!F15))
/
AVERAGE(ParseTime(RunTime1!J15),ParseTime(RunTime2!J15),ParseTime(RunTime3!J15),ParseTime(RunTime4!J15))</f>
        <v>1.7054108216432864</v>
      </c>
      <c r="P15" s="4">
        <f>AVERAGE(ParseTime(RunTime1!F15),ParseTime(RunTime2!F15),ParseTime(RunTime3!F15),ParseTime(RunTime4!F15))
/
AVERAGE(ParseTime(RunTime1!I15),ParseTime(RunTime2!I15),ParseTime(RunTime3!I15),ParseTime(RunTime4!I15))</f>
        <v>2.0313898669212866</v>
      </c>
      <c r="Q15" s="4">
        <f>AVERAGE(ParseTime(RunTime1!H15),ParseTime(RunTime2!H15),ParseTime(RunTime3!H15),ParseTime(RunTime4!H15))
/
AVERAGE(ParseTime(RunTime1!J15),ParseTime(RunTime2!J15),ParseTime(RunTime3!J15),ParseTime(RunTime4!J15))</f>
        <v>0.93892785571142279</v>
      </c>
      <c r="R15" s="4">
        <f>AVERAGE(ParseTime(RunTime1!G15),ParseTime(RunTime2!G15),ParseTime(RunTime3!G15),ParseTime(RunTime4!G15))
/
AVERAGE(ParseTime(RunTime1!I15),ParseTime(RunTime2!I15),ParseTime(RunTime3!I15),ParseTime(RunTime4!I15))</f>
        <v>0.61257981738974765</v>
      </c>
      <c r="S15" s="4">
        <f>AVERAGE(ParseTime(RunTime1!H15),ParseTime(RunTime2!H15),ParseTime(RunTime3!H15),ParseTime(RunTime4!H15))
/
AVERAGE(ParseTime(RunTime1!I15),ParseTime(RunTime2!I15),ParseTime(RunTime3!I15),ParseTime(RunTime4!I15))</f>
        <v>1.1183982813152713</v>
      </c>
      <c r="T15" s="4">
        <f>AVERAGE(ParseTime(RunTime1!G15),ParseTime(RunTime2!G15),ParseTime(RunTime3!G15),ParseTime(RunTime4!G15))
/
AVERAGE(ParseTime(RunTime1!J15),ParseTime(RunTime2!J15),ParseTime(RunTime3!J15),ParseTime(RunTime4!J15))</f>
        <v>0.51427855711422843</v>
      </c>
      <c r="U15" t="s">
        <v>18</v>
      </c>
    </row>
    <row r="16" spans="1:21" x14ac:dyDescent="0.25">
      <c r="A16" t="s">
        <v>294</v>
      </c>
      <c r="B16" t="s">
        <v>101</v>
      </c>
      <c r="C16" t="s">
        <v>11</v>
      </c>
      <c r="D16" s="1">
        <v>222180</v>
      </c>
      <c r="E16">
        <v>2</v>
      </c>
      <c r="F16" t="s">
        <v>371</v>
      </c>
      <c r="G16" t="s">
        <v>372</v>
      </c>
      <c r="H16" t="s">
        <v>373</v>
      </c>
      <c r="I16" t="s">
        <v>1074</v>
      </c>
      <c r="J16" t="s">
        <v>1113</v>
      </c>
      <c r="K16" t="s">
        <v>374</v>
      </c>
      <c r="L16" t="s">
        <v>375</v>
      </c>
      <c r="M16" t="s">
        <v>376</v>
      </c>
      <c r="N16" t="s">
        <v>1058</v>
      </c>
      <c r="O16" s="4">
        <f>AVERAGE(ParseTime(RunTime1!F16),ParseTime(RunTime2!F16),ParseTime(RunTime3!F16),ParseTime(RunTime4!F16))
/
AVERAGE(ParseTime(RunTime1!J16),ParseTime(RunTime2!J16),ParseTime(RunTime3!J16),ParseTime(RunTime4!J16))</f>
        <v>1.6240388506677459</v>
      </c>
      <c r="P16" s="4">
        <f>AVERAGE(ParseTime(RunTime1!F16),ParseTime(RunTime2!F16),ParseTime(RunTime3!F16),ParseTime(RunTime4!F16))
/
AVERAGE(ParseTime(RunTime1!I16),ParseTime(RunTime2!I16),ParseTime(RunTime3!I16),ParseTime(RunTime4!I16))</f>
        <v>1.7224232019130541</v>
      </c>
      <c r="Q16" s="4">
        <f>AVERAGE(ParseTime(RunTime1!H16),ParseTime(RunTime2!H16),ParseTime(RunTime3!H16),ParseTime(RunTime4!H16))
/
AVERAGE(ParseTime(RunTime1!J16),ParseTime(RunTime2!J16),ParseTime(RunTime3!J16),ParseTime(RunTime4!J16))</f>
        <v>0.99485459906342133</v>
      </c>
      <c r="R16" s="4">
        <f>AVERAGE(ParseTime(RunTime1!G16),ParseTime(RunTime2!G16),ParseTime(RunTime3!G16),ParseTime(RunTime4!G16))
/
AVERAGE(ParseTime(RunTime1!I16),ParseTime(RunTime2!I16),ParseTime(RunTime3!I16),ParseTime(RunTime4!I16))</f>
        <v>0.80495431970077869</v>
      </c>
      <c r="S16" s="4">
        <f>AVERAGE(ParseTime(RunTime1!H16),ParseTime(RunTime2!H16),ParseTime(RunTime3!H16),ParseTime(RunTime4!H16))
/
AVERAGE(ParseTime(RunTime1!I16),ParseTime(RunTime2!I16),ParseTime(RunTime3!I16),ParseTime(RunTime4!I16))</f>
        <v>1.0551229382549512</v>
      </c>
      <c r="T16" s="4">
        <f>AVERAGE(ParseTime(RunTime1!G16),ParseTime(RunTime2!G16),ParseTime(RunTime3!G16),ParseTime(RunTime4!G16))
/
AVERAGE(ParseTime(RunTime1!J16),ParseTime(RunTime2!J16),ParseTime(RunTime3!J16),ParseTime(RunTime4!J16))</f>
        <v>0.75897554489217778</v>
      </c>
      <c r="U16" t="s">
        <v>18</v>
      </c>
    </row>
    <row r="17" spans="1:21" x14ac:dyDescent="0.25">
      <c r="A17" t="s">
        <v>294</v>
      </c>
      <c r="B17" t="s">
        <v>101</v>
      </c>
      <c r="C17" t="s">
        <v>19</v>
      </c>
      <c r="D17" s="1">
        <v>215330</v>
      </c>
      <c r="E17">
        <v>2</v>
      </c>
      <c r="F17" t="s">
        <v>377</v>
      </c>
      <c r="G17" t="s">
        <v>378</v>
      </c>
      <c r="H17" t="s">
        <v>379</v>
      </c>
      <c r="I17" t="s">
        <v>1075</v>
      </c>
      <c r="J17" t="s">
        <v>1114</v>
      </c>
      <c r="K17" t="s">
        <v>380</v>
      </c>
      <c r="L17" t="s">
        <v>87</v>
      </c>
      <c r="M17" t="s">
        <v>381</v>
      </c>
      <c r="N17" t="s">
        <v>621</v>
      </c>
      <c r="O17" s="4">
        <f>AVERAGE(ParseTime(RunTime1!F17),ParseTime(RunTime2!F17),ParseTime(RunTime3!F17),ParseTime(RunTime4!F17))
/
AVERAGE(ParseTime(RunTime1!J17),ParseTime(RunTime2!J17),ParseTime(RunTime3!J17),ParseTime(RunTime4!J17))</f>
        <v>1.399324754122425</v>
      </c>
      <c r="P17" s="4">
        <f>AVERAGE(ParseTime(RunTime1!F17),ParseTime(RunTime2!F17),ParseTime(RunTime3!F17),ParseTime(RunTime4!F17))
/
AVERAGE(ParseTime(RunTime1!I17),ParseTime(RunTime2!I17),ParseTime(RunTime3!I17),ParseTime(RunTime4!I17))</f>
        <v>1.8443183283890106</v>
      </c>
      <c r="Q17" s="4">
        <f>AVERAGE(ParseTime(RunTime1!H17),ParseTime(RunTime2!H17),ParseTime(RunTime3!H17),ParseTime(RunTime4!H17))
/
AVERAGE(ParseTime(RunTime1!J17),ParseTime(RunTime2!J17),ParseTime(RunTime3!J17),ParseTime(RunTime4!J17))</f>
        <v>0.93448157753094863</v>
      </c>
      <c r="R17" s="4">
        <f>AVERAGE(ParseTime(RunTime1!G17),ParseTime(RunTime2!G17),ParseTime(RunTime3!G17),ParseTime(RunTime4!G17))
/
AVERAGE(ParseTime(RunTime1!I17),ParseTime(RunTime2!I17),ParseTime(RunTime3!I17),ParseTime(RunTime4!I17))</f>
        <v>0.6551012511285953</v>
      </c>
      <c r="S17" s="4">
        <f>AVERAGE(ParseTime(RunTime1!H17),ParseTime(RunTime2!H17),ParseTime(RunTime3!H17),ParseTime(RunTime4!H17))
/
AVERAGE(ParseTime(RunTime1!I17),ParseTime(RunTime2!I17),ParseTime(RunTime3!I17),ParseTime(RunTime4!I17))</f>
        <v>1.2316522636398812</v>
      </c>
      <c r="T17" s="4">
        <f>AVERAGE(ParseTime(RunTime1!G17),ParseTime(RunTime2!G17),ParseTime(RunTime3!G17),ParseTime(RunTime4!G17))
/
AVERAGE(ParseTime(RunTime1!J17),ParseTime(RunTime2!J17),ParseTime(RunTime3!J17),ParseTime(RunTime4!J17))</f>
        <v>0.49703968292802264</v>
      </c>
      <c r="U17" t="s">
        <v>18</v>
      </c>
    </row>
    <row r="18" spans="1:21" x14ac:dyDescent="0.25">
      <c r="A18" t="s">
        <v>294</v>
      </c>
      <c r="B18" t="s">
        <v>114</v>
      </c>
      <c r="C18" t="s">
        <v>11</v>
      </c>
      <c r="D18" s="1">
        <v>176918</v>
      </c>
      <c r="E18">
        <v>2</v>
      </c>
      <c r="F18" t="s">
        <v>382</v>
      </c>
      <c r="G18" t="s">
        <v>383</v>
      </c>
      <c r="H18" t="s">
        <v>384</v>
      </c>
      <c r="I18" t="s">
        <v>1076</v>
      </c>
      <c r="J18" t="s">
        <v>1115</v>
      </c>
      <c r="K18" t="s">
        <v>385</v>
      </c>
      <c r="L18" t="s">
        <v>386</v>
      </c>
      <c r="M18" t="s">
        <v>387</v>
      </c>
      <c r="N18" t="s">
        <v>1144</v>
      </c>
      <c r="O18" s="4">
        <f>AVERAGE(ParseTime(RunTime1!F18),ParseTime(RunTime2!F18),ParseTime(RunTime3!F18),ParseTime(RunTime4!F18))
/
AVERAGE(ParseTime(RunTime1!J18),ParseTime(RunTime2!J18),ParseTime(RunTime3!J18),ParseTime(RunTime4!J18))</f>
        <v>124.01996173469387</v>
      </c>
      <c r="P18" s="4">
        <f>AVERAGE(ParseTime(RunTime1!F18),ParseTime(RunTime2!F18),ParseTime(RunTime3!F18),ParseTime(RunTime4!F18))
/
AVERAGE(ParseTime(RunTime1!I18),ParseTime(RunTime2!I18),ParseTime(RunTime3!I18),ParseTime(RunTime4!I18))</f>
        <v>121.13074623146879</v>
      </c>
      <c r="Q18" s="4">
        <f>AVERAGE(ParseTime(RunTime1!H18),ParseTime(RunTime2!H18),ParseTime(RunTime3!H18),ParseTime(RunTime4!H18))
/
AVERAGE(ParseTime(RunTime1!J18),ParseTime(RunTime2!J18),ParseTime(RunTime3!J18),ParseTime(RunTime4!J18))</f>
        <v>1.0300382653061224</v>
      </c>
      <c r="R18" s="4">
        <f>AVERAGE(ParseTime(RunTime1!G18),ParseTime(RunTime2!G18),ParseTime(RunTime3!G18),ParseTime(RunTime4!G18))
/
AVERAGE(ParseTime(RunTime1!I18),ParseTime(RunTime2!I18),ParseTime(RunTime3!I18),ParseTime(RunTime4!I18))</f>
        <v>0.8033511897346457</v>
      </c>
      <c r="S18" s="4">
        <f>AVERAGE(ParseTime(RunTime1!H18),ParseTime(RunTime2!H18),ParseTime(RunTime3!H18),ParseTime(RunTime4!H18))
/
AVERAGE(ParseTime(RunTime1!I18),ParseTime(RunTime2!I18),ParseTime(RunTime3!I18),ParseTime(RunTime4!I18))</f>
        <v>1.0060421078858852</v>
      </c>
      <c r="T18" s="4">
        <f>AVERAGE(ParseTime(RunTime1!G18),ParseTime(RunTime2!G18),ParseTime(RunTime3!G18),ParseTime(RunTime4!G18))
/
AVERAGE(ParseTime(RunTime1!J18),ParseTime(RunTime2!J18),ParseTime(RunTime3!J18),ParseTime(RunTime4!J18))</f>
        <v>0.8225127551020408</v>
      </c>
      <c r="U18" t="s">
        <v>18</v>
      </c>
    </row>
    <row r="19" spans="1:21" x14ac:dyDescent="0.25">
      <c r="A19" t="s">
        <v>294</v>
      </c>
      <c r="B19" t="s">
        <v>114</v>
      </c>
      <c r="C19" t="s">
        <v>19</v>
      </c>
      <c r="D19" s="1">
        <v>178143</v>
      </c>
      <c r="E19">
        <v>2</v>
      </c>
      <c r="F19" t="s">
        <v>388</v>
      </c>
      <c r="G19" t="s">
        <v>389</v>
      </c>
      <c r="H19" t="s">
        <v>390</v>
      </c>
      <c r="I19" t="s">
        <v>1077</v>
      </c>
      <c r="J19" t="s">
        <v>1116</v>
      </c>
      <c r="K19" t="s">
        <v>391</v>
      </c>
      <c r="L19" t="s">
        <v>392</v>
      </c>
      <c r="M19" t="s">
        <v>393</v>
      </c>
      <c r="N19" t="s">
        <v>1145</v>
      </c>
      <c r="O19" s="4">
        <f>AVERAGE(ParseTime(RunTime1!F19),ParseTime(RunTime2!F19),ParseTime(RunTime3!F19),ParseTime(RunTime4!F19))
/
AVERAGE(ParseTime(RunTime1!J19),ParseTime(RunTime2!J19),ParseTime(RunTime3!J19),ParseTime(RunTime4!J19))</f>
        <v>118.00855486019405</v>
      </c>
      <c r="P19" s="4">
        <f>AVERAGE(ParseTime(RunTime1!F19),ParseTime(RunTime2!F19),ParseTime(RunTime3!F19),ParseTime(RunTime4!F19))
/
AVERAGE(ParseTime(RunTime1!I19),ParseTime(RunTime2!I19),ParseTime(RunTime3!I19),ParseTime(RunTime4!I19))</f>
        <v>144.69236184442099</v>
      </c>
      <c r="Q19" s="4">
        <f>AVERAGE(ParseTime(RunTime1!H19),ParseTime(RunTime2!H19),ParseTime(RunTime3!H19),ParseTime(RunTime4!H19))
/
AVERAGE(ParseTime(RunTime1!J19),ParseTime(RunTime2!J19),ParseTime(RunTime3!J19),ParseTime(RunTime4!J19))</f>
        <v>1.1217775736349542</v>
      </c>
      <c r="R19" s="4">
        <f>AVERAGE(ParseTime(RunTime1!G19),ParseTime(RunTime2!G19),ParseTime(RunTime3!G19),ParseTime(RunTime4!G19))
/
AVERAGE(ParseTime(RunTime1!I19),ParseTime(RunTime2!I19),ParseTime(RunTime3!I19),ParseTime(RunTime4!I19))</f>
        <v>0.60774375219992949</v>
      </c>
      <c r="S19" s="4">
        <f>AVERAGE(ParseTime(RunTime1!H19),ParseTime(RunTime2!H19),ParseTime(RunTime3!H19),ParseTime(RunTime4!H19))
/
AVERAGE(ParseTime(RunTime1!I19),ParseTime(RunTime2!I19),ParseTime(RunTime3!I19),ParseTime(RunTime4!I19))</f>
        <v>1.3754311862020416</v>
      </c>
      <c r="T19" s="4">
        <f>AVERAGE(ParseTime(RunTime1!G19),ParseTime(RunTime2!G19),ParseTime(RunTime3!G19),ParseTime(RunTime4!G19))
/
AVERAGE(ParseTime(RunTime1!J19),ParseTime(RunTime2!J19),ParseTime(RunTime3!J19),ParseTime(RunTime4!J19))</f>
        <v>0.49566515473388062</v>
      </c>
      <c r="U19" t="s">
        <v>18</v>
      </c>
    </row>
    <row r="20" spans="1:21" x14ac:dyDescent="0.25">
      <c r="A20" t="s">
        <v>294</v>
      </c>
      <c r="B20" t="s">
        <v>127</v>
      </c>
      <c r="C20" t="s">
        <v>11</v>
      </c>
      <c r="D20" s="1">
        <v>209222</v>
      </c>
      <c r="E20">
        <v>2</v>
      </c>
      <c r="F20" t="s">
        <v>394</v>
      </c>
      <c r="G20" t="s">
        <v>395</v>
      </c>
      <c r="H20" t="s">
        <v>396</v>
      </c>
      <c r="I20" t="s">
        <v>1078</v>
      </c>
      <c r="J20" t="s">
        <v>1117</v>
      </c>
      <c r="K20" t="s">
        <v>80</v>
      </c>
      <c r="L20" t="s">
        <v>397</v>
      </c>
      <c r="M20" t="s">
        <v>398</v>
      </c>
      <c r="N20" t="s">
        <v>317</v>
      </c>
      <c r="O20" s="4">
        <f>AVERAGE(ParseTime(RunTime1!F20),ParseTime(RunTime2!F20),ParseTime(RunTime3!F20),ParseTime(RunTime4!F20))
/
AVERAGE(ParseTime(RunTime1!J20),ParseTime(RunTime2!J20),ParseTime(RunTime3!J20),ParseTime(RunTime4!J20))</f>
        <v>1.5625599638805803</v>
      </c>
      <c r="P20" s="4">
        <f>AVERAGE(ParseTime(RunTime1!F20),ParseTime(RunTime2!F20),ParseTime(RunTime3!F20),ParseTime(RunTime4!F20))
/
AVERAGE(ParseTime(RunTime1!I20),ParseTime(RunTime2!I20),ParseTime(RunTime3!I20),ParseTime(RunTime4!I20))</f>
        <v>2.1104504916533271</v>
      </c>
      <c r="Q20" s="4">
        <f>AVERAGE(ParseTime(RunTime1!H20),ParseTime(RunTime2!H20),ParseTime(RunTime3!H20),ParseTime(RunTime4!H20))
/
AVERAGE(ParseTime(RunTime1!J20),ParseTime(RunTime2!J20),ParseTime(RunTime3!J20),ParseTime(RunTime4!J20))</f>
        <v>0.73102319543992345</v>
      </c>
      <c r="R20" s="4">
        <f>AVERAGE(ParseTime(RunTime1!G20),ParseTime(RunTime2!G20),ParseTime(RunTime3!G20),ParseTime(RunTime4!G20))
/
AVERAGE(ParseTime(RunTime1!I20),ParseTime(RunTime2!I20),ParseTime(RunTime3!I20),ParseTime(RunTime4!I20))</f>
        <v>0.90174555987499061</v>
      </c>
      <c r="S20" s="4">
        <f>AVERAGE(ParseTime(RunTime1!H20),ParseTime(RunTime2!H20),ParseTime(RunTime3!H20),ParseTime(RunTime4!H20))
/
AVERAGE(ParseTime(RunTime1!I20),ParseTime(RunTime2!I20),ParseTime(RunTime3!I20),ParseTime(RunTime4!I20))</f>
        <v>0.98734659653937051</v>
      </c>
      <c r="T20" s="4">
        <f>AVERAGE(ParseTime(RunTime1!G20),ParseTime(RunTime2!G20),ParseTime(RunTime3!G20),ParseTime(RunTime4!G20))
/
AVERAGE(ParseTime(RunTime1!J20),ParseTime(RunTime2!J20),ParseTime(RunTime3!J20),ParseTime(RunTime4!J20))</f>
        <v>0.6676449009537786</v>
      </c>
      <c r="U20" t="s">
        <v>18</v>
      </c>
    </row>
    <row r="21" spans="1:21" x14ac:dyDescent="0.25">
      <c r="A21" t="s">
        <v>294</v>
      </c>
      <c r="B21" t="s">
        <v>127</v>
      </c>
      <c r="C21" t="s">
        <v>19</v>
      </c>
      <c r="D21" s="1">
        <v>208613</v>
      </c>
      <c r="E21">
        <v>2</v>
      </c>
      <c r="F21" t="s">
        <v>399</v>
      </c>
      <c r="G21" t="s">
        <v>400</v>
      </c>
      <c r="H21" t="s">
        <v>401</v>
      </c>
      <c r="I21" t="s">
        <v>141</v>
      </c>
      <c r="J21" t="s">
        <v>1118</v>
      </c>
      <c r="K21" t="s">
        <v>60</v>
      </c>
      <c r="L21" t="s">
        <v>402</v>
      </c>
      <c r="M21" t="s">
        <v>403</v>
      </c>
      <c r="N21" t="s">
        <v>818</v>
      </c>
      <c r="O21" s="4">
        <f>AVERAGE(ParseTime(RunTime1!F21),ParseTime(RunTime2!F21),ParseTime(RunTime3!F21),ParseTime(RunTime4!F21))
/
AVERAGE(ParseTime(RunTime1!J21),ParseTime(RunTime2!J21),ParseTime(RunTime3!J21),ParseTime(RunTime4!J21))</f>
        <v>1.8814771735969757</v>
      </c>
      <c r="P21" s="4">
        <f>AVERAGE(ParseTime(RunTime1!F21),ParseTime(RunTime2!F21),ParseTime(RunTime3!F21),ParseTime(RunTime4!F21))
/
AVERAGE(ParseTime(RunTime1!I21),ParseTime(RunTime2!I21),ParseTime(RunTime3!I21),ParseTime(RunTime4!I21))</f>
        <v>2.4943716268311489</v>
      </c>
      <c r="Q21" s="4">
        <f>AVERAGE(ParseTime(RunTime1!H21),ParseTime(RunTime2!H21),ParseTime(RunTime3!H21),ParseTime(RunTime4!H21))
/
AVERAGE(ParseTime(RunTime1!J21),ParseTime(RunTime2!J21),ParseTime(RunTime3!J21),ParseTime(RunTime4!J21))</f>
        <v>1.0070950857807501</v>
      </c>
      <c r="R21" s="4">
        <f>AVERAGE(ParseTime(RunTime1!G21),ParseTime(RunTime2!G21),ParseTime(RunTime3!G21),ParseTime(RunTime4!G21))
/
AVERAGE(ParseTime(RunTime1!I21),ParseTime(RunTime2!I21),ParseTime(RunTime3!I21),ParseTime(RunTime4!I21))</f>
        <v>0.68727833461835008</v>
      </c>
      <c r="S21" s="4">
        <f>AVERAGE(ParseTime(RunTime1!H21),ParseTime(RunTime2!H21),ParseTime(RunTime3!H21),ParseTime(RunTime4!H21))
/
AVERAGE(ParseTime(RunTime1!I21),ParseTime(RunTime2!I21),ParseTime(RunTime3!I21),ParseTime(RunTime4!I21))</f>
        <v>1.3351580570547419</v>
      </c>
      <c r="T21" s="4">
        <f>AVERAGE(ParseTime(RunTime1!G21),ParseTime(RunTime2!G21),ParseTime(RunTime3!G21),ParseTime(RunTime4!G21))
/
AVERAGE(ParseTime(RunTime1!J21),ParseTime(RunTime2!J21),ParseTime(RunTime3!J21),ParseTime(RunTime4!J21))</f>
        <v>0.51840651352137246</v>
      </c>
      <c r="U21" t="s">
        <v>18</v>
      </c>
    </row>
    <row r="22" spans="1:21" x14ac:dyDescent="0.25">
      <c r="A22" t="s">
        <v>294</v>
      </c>
      <c r="B22" t="s">
        <v>139</v>
      </c>
      <c r="C22" t="s">
        <v>11</v>
      </c>
      <c r="D22" s="1">
        <v>211435</v>
      </c>
      <c r="E22">
        <v>2</v>
      </c>
      <c r="F22" t="s">
        <v>404</v>
      </c>
      <c r="G22" t="s">
        <v>405</v>
      </c>
      <c r="H22" t="s">
        <v>406</v>
      </c>
      <c r="I22" t="s">
        <v>1079</v>
      </c>
      <c r="J22" t="s">
        <v>1119</v>
      </c>
      <c r="K22" t="s">
        <v>407</v>
      </c>
      <c r="L22" t="s">
        <v>225</v>
      </c>
      <c r="M22" t="s">
        <v>408</v>
      </c>
      <c r="N22" t="s">
        <v>1059</v>
      </c>
      <c r="O22" s="4">
        <f>AVERAGE(ParseTime(RunTime1!F22),ParseTime(RunTime2!F22),ParseTime(RunTime3!F22),ParseTime(RunTime4!F22))
/
AVERAGE(ParseTime(RunTime1!J22),ParseTime(RunTime2!J22),ParseTime(RunTime3!J22),ParseTime(RunTime4!J22))</f>
        <v>1.8013790685443813</v>
      </c>
      <c r="P22" s="4">
        <f>AVERAGE(ParseTime(RunTime1!F22),ParseTime(RunTime2!F22),ParseTime(RunTime3!F22),ParseTime(RunTime4!F22))
/
AVERAGE(ParseTime(RunTime1!I22),ParseTime(RunTime2!I22),ParseTime(RunTime3!I22),ParseTime(RunTime4!I22))</f>
        <v>2.3766093593400663</v>
      </c>
      <c r="Q22" s="4">
        <f>AVERAGE(ParseTime(RunTime1!H22),ParseTime(RunTime2!H22),ParseTime(RunTime3!H22),ParseTime(RunTime4!H22))
/
AVERAGE(ParseTime(RunTime1!J22),ParseTime(RunTime2!J22),ParseTime(RunTime3!J22),ParseTime(RunTime4!J22))</f>
        <v>0.75679308128323497</v>
      </c>
      <c r="R22" s="4">
        <f>AVERAGE(ParseTime(RunTime1!G22),ParseTime(RunTime2!G22),ParseTime(RunTime3!G22),ParseTime(RunTime4!G22))
/
AVERAGE(ParseTime(RunTime1!I22),ParseTime(RunTime2!I22),ParseTime(RunTime3!I22),ParseTime(RunTime4!I22))</f>
        <v>0.88875183100763244</v>
      </c>
      <c r="S22" s="4">
        <f>AVERAGE(ParseTime(RunTime1!H22),ParseTime(RunTime2!H22),ParseTime(RunTime3!H22),ParseTime(RunTime4!H22))
/
AVERAGE(ParseTime(RunTime1!I22),ParseTime(RunTime2!I22),ParseTime(RunTime3!I22),ParseTime(RunTime4!I22))</f>
        <v>0.99845809883586467</v>
      </c>
      <c r="T22" s="4">
        <f>AVERAGE(ParseTime(RunTime1!G22),ParseTime(RunTime2!G22),ParseTime(RunTime3!G22),ParseTime(RunTime4!G22))
/
AVERAGE(ParseTime(RunTime1!J22),ParseTime(RunTime2!J22),ParseTime(RunTime3!J22),ParseTime(RunTime4!J22))</f>
        <v>0.67363992286565777</v>
      </c>
      <c r="U22" t="s">
        <v>18</v>
      </c>
    </row>
    <row r="23" spans="1:21" x14ac:dyDescent="0.25">
      <c r="A23" t="s">
        <v>294</v>
      </c>
      <c r="B23" t="s">
        <v>139</v>
      </c>
      <c r="C23" t="s">
        <v>19</v>
      </c>
      <c r="D23" s="1">
        <v>207634</v>
      </c>
      <c r="E23">
        <v>2</v>
      </c>
      <c r="F23" t="s">
        <v>409</v>
      </c>
      <c r="G23" t="s">
        <v>410</v>
      </c>
      <c r="H23" t="s">
        <v>411</v>
      </c>
      <c r="I23" t="s">
        <v>983</v>
      </c>
      <c r="J23" t="s">
        <v>1120</v>
      </c>
      <c r="K23" t="s">
        <v>412</v>
      </c>
      <c r="L23" t="s">
        <v>62</v>
      </c>
      <c r="M23" t="s">
        <v>413</v>
      </c>
      <c r="N23" t="s">
        <v>178</v>
      </c>
      <c r="O23" s="4">
        <f>AVERAGE(ParseTime(RunTime1!F23),ParseTime(RunTime2!F23),ParseTime(RunTime3!F23),ParseTime(RunTime4!F23))
/
AVERAGE(ParseTime(RunTime1!J23),ParseTime(RunTime2!J23),ParseTime(RunTime3!J23),ParseTime(RunTime4!J23))</f>
        <v>1.5247655610799928</v>
      </c>
      <c r="P23" s="4">
        <f>AVERAGE(ParseTime(RunTime1!F23),ParseTime(RunTime2!F23),ParseTime(RunTime3!F23),ParseTime(RunTime4!F23))
/
AVERAGE(ParseTime(RunTime1!I23),ParseTime(RunTime2!I23),ParseTime(RunTime3!I23),ParseTime(RunTime4!I23))</f>
        <v>1.8669183940818372</v>
      </c>
      <c r="Q23" s="4">
        <f>AVERAGE(ParseTime(RunTime1!H23),ParseTime(RunTime2!H23),ParseTime(RunTime3!H23),ParseTime(RunTime4!H23))
/
AVERAGE(ParseTime(RunTime1!J23),ParseTime(RunTime2!J23),ParseTime(RunTime3!J23),ParseTime(RunTime4!J23))</f>
        <v>0.92510541884322484</v>
      </c>
      <c r="R23" s="4">
        <f>AVERAGE(ParseTime(RunTime1!G23),ParseTime(RunTime2!G23),ParseTime(RunTime3!G23),ParseTime(RunTime4!G23))
/
AVERAGE(ParseTime(RunTime1!I23),ParseTime(RunTime2!I23),ParseTime(RunTime3!I23),ParseTime(RunTime4!I23))</f>
        <v>0.96886799722586114</v>
      </c>
      <c r="S23" s="4">
        <f>AVERAGE(ParseTime(RunTime1!H23),ParseTime(RunTime2!H23),ParseTime(RunTime3!H23),ParseTime(RunTime4!H23))
/
AVERAGE(ParseTime(RunTime1!I23),ParseTime(RunTime2!I23),ParseTime(RunTime3!I23),ParseTime(RunTime4!I23))</f>
        <v>1.1326963088541264</v>
      </c>
      <c r="T23" s="4">
        <f>AVERAGE(ParseTime(RunTime1!G23),ParseTime(RunTime2!G23),ParseTime(RunTime3!G23),ParseTime(RunTime4!G23))
/
AVERAGE(ParseTime(RunTime1!J23),ParseTime(RunTime2!J23),ParseTime(RunTime3!J23),ParseTime(RunTime4!J23))</f>
        <v>0.79130215872616283</v>
      </c>
      <c r="U23" t="s">
        <v>18</v>
      </c>
    </row>
    <row r="24" spans="1:21" x14ac:dyDescent="0.25">
      <c r="A24" t="s">
        <v>294</v>
      </c>
      <c r="B24" t="s">
        <v>150</v>
      </c>
      <c r="C24" t="s">
        <v>11</v>
      </c>
      <c r="D24" s="1">
        <v>193899</v>
      </c>
      <c r="E24">
        <v>2</v>
      </c>
      <c r="F24" t="s">
        <v>414</v>
      </c>
      <c r="G24" t="s">
        <v>415</v>
      </c>
      <c r="H24" t="s">
        <v>416</v>
      </c>
      <c r="I24" t="s">
        <v>1080</v>
      </c>
      <c r="J24" t="s">
        <v>1121</v>
      </c>
      <c r="K24" t="s">
        <v>417</v>
      </c>
      <c r="L24" t="s">
        <v>418</v>
      </c>
      <c r="M24" t="s">
        <v>419</v>
      </c>
      <c r="N24" t="s">
        <v>178</v>
      </c>
      <c r="O24" s="4">
        <f>AVERAGE(ParseTime(RunTime1!F24),ParseTime(RunTime2!F24),ParseTime(RunTime3!F24),ParseTime(RunTime4!F24))
/
AVERAGE(ParseTime(RunTime1!J24),ParseTime(RunTime2!J24),ParseTime(RunTime3!J24),ParseTime(RunTime4!J24))</f>
        <v>1.8694225721784781</v>
      </c>
      <c r="P24" s="4">
        <f>AVERAGE(ParseTime(RunTime1!F24),ParseTime(RunTime2!F24),ParseTime(RunTime3!F24),ParseTime(RunTime4!F24))
/
AVERAGE(ParseTime(RunTime1!I24),ParseTime(RunTime2!I24),ParseTime(RunTime3!I24),ParseTime(RunTime4!I24))</f>
        <v>2.2584225128814901</v>
      </c>
      <c r="Q24" s="4">
        <f>AVERAGE(ParseTime(RunTime1!H24),ParseTime(RunTime2!H24),ParseTime(RunTime3!H24),ParseTime(RunTime4!H24))
/
AVERAGE(ParseTime(RunTime1!J24),ParseTime(RunTime2!J24),ParseTime(RunTime3!J24),ParseTime(RunTime4!J24))</f>
        <v>0.64796587926509197</v>
      </c>
      <c r="R24" s="4">
        <f>AVERAGE(ParseTime(RunTime1!G24),ParseTime(RunTime2!G24),ParseTime(RunTime3!G24),ParseTime(RunTime4!G24))
/
AVERAGE(ParseTime(RunTime1!I24),ParseTime(RunTime2!I24),ParseTime(RunTime3!I24),ParseTime(RunTime4!I24))</f>
        <v>0.87665477606024556</v>
      </c>
      <c r="S24" s="4">
        <f>AVERAGE(ParseTime(RunTime1!H24),ParseTime(RunTime2!H24),ParseTime(RunTime3!H24),ParseTime(RunTime4!H24))
/
AVERAGE(ParseTime(RunTime1!I24),ParseTime(RunTime2!I24),ParseTime(RunTime3!I24),ParseTime(RunTime4!I24))</f>
        <v>0.78279825604439146</v>
      </c>
      <c r="T24" s="4">
        <f>AVERAGE(ParseTime(RunTime1!G24),ParseTime(RunTime2!G24),ParseTime(RunTime3!G24),ParseTime(RunTime4!G24))
/
AVERAGE(ParseTime(RunTime1!J24),ParseTime(RunTime2!J24),ParseTime(RunTime3!J24),ParseTime(RunTime4!J24))</f>
        <v>0.72565616797900268</v>
      </c>
      <c r="U24" t="s">
        <v>296</v>
      </c>
    </row>
    <row r="25" spans="1:21" x14ac:dyDescent="0.25">
      <c r="A25" t="s">
        <v>294</v>
      </c>
      <c r="B25" t="s">
        <v>150</v>
      </c>
      <c r="C25" t="s">
        <v>19</v>
      </c>
      <c r="D25" s="1">
        <v>191991</v>
      </c>
      <c r="E25">
        <v>2</v>
      </c>
      <c r="F25" t="s">
        <v>420</v>
      </c>
      <c r="G25" t="s">
        <v>421</v>
      </c>
      <c r="H25" t="s">
        <v>422</v>
      </c>
      <c r="I25" t="s">
        <v>1081</v>
      </c>
      <c r="J25" t="s">
        <v>978</v>
      </c>
      <c r="K25" t="s">
        <v>359</v>
      </c>
      <c r="L25" t="s">
        <v>423</v>
      </c>
      <c r="M25" t="s">
        <v>424</v>
      </c>
      <c r="N25" t="s">
        <v>548</v>
      </c>
      <c r="O25" s="4">
        <f>AVERAGE(ParseTime(RunTime1!F25),ParseTime(RunTime2!F25),ParseTime(RunTime3!F25),ParseTime(RunTime4!F25))
/
AVERAGE(ParseTime(RunTime1!J25),ParseTime(RunTime2!J25),ParseTime(RunTime3!J25),ParseTime(RunTime4!J25))</f>
        <v>1.2797565374211</v>
      </c>
      <c r="P25" s="4">
        <f>AVERAGE(ParseTime(RunTime1!F25),ParseTime(RunTime2!F25),ParseTime(RunTime3!F25),ParseTime(RunTime4!F25))
/
AVERAGE(ParseTime(RunTime1!I25),ParseTime(RunTime2!I25),ParseTime(RunTime3!I25),ParseTime(RunTime4!I25))</f>
        <v>1.6999550830962717</v>
      </c>
      <c r="Q25" s="4">
        <f>AVERAGE(ParseTime(RunTime1!H25),ParseTime(RunTime2!H25),ParseTime(RunTime3!H25),ParseTime(RunTime4!H25))
/
AVERAGE(ParseTime(RunTime1!J25),ParseTime(RunTime2!J25),ParseTime(RunTime3!J25),ParseTime(RunTime4!J25))</f>
        <v>0.81762849413886385</v>
      </c>
      <c r="R25" s="4">
        <f>AVERAGE(ParseTime(RunTime1!G25),ParseTime(RunTime2!G25),ParseTime(RunTime3!G25),ParseTime(RunTime4!G25))
/
AVERAGE(ParseTime(RunTime1!I25),ParseTime(RunTime2!I25),ParseTime(RunTime3!I25),ParseTime(RunTime4!I25))</f>
        <v>0.70811498727354405</v>
      </c>
      <c r="S25" s="4">
        <f>AVERAGE(ParseTime(RunTime1!H25),ParseTime(RunTime2!H25),ParseTime(RunTime3!H25),ParseTime(RunTime4!H25))
/
AVERAGE(ParseTime(RunTime1!I25),ParseTime(RunTime2!I25),ParseTime(RunTime3!I25),ParseTime(RunTime4!I25))</f>
        <v>1.0860907321455309</v>
      </c>
      <c r="T25" s="4">
        <f>AVERAGE(ParseTime(RunTime1!G25),ParseTime(RunTime2!G25),ParseTime(RunTime3!G25),ParseTime(RunTime4!G25))
/
AVERAGE(ParseTime(RunTime1!J25),ParseTime(RunTime2!J25),ParseTime(RunTime3!J25),ParseTime(RunTime4!J25))</f>
        <v>0.53308160504959434</v>
      </c>
      <c r="U25" t="s">
        <v>18</v>
      </c>
    </row>
    <row r="26" spans="1:21" x14ac:dyDescent="0.25">
      <c r="A26" t="s">
        <v>294</v>
      </c>
      <c r="B26" t="s">
        <v>162</v>
      </c>
      <c r="C26" t="s">
        <v>11</v>
      </c>
      <c r="D26" s="1">
        <v>159967</v>
      </c>
      <c r="E26">
        <v>2</v>
      </c>
      <c r="F26" t="s">
        <v>425</v>
      </c>
      <c r="G26" t="s">
        <v>426</v>
      </c>
      <c r="H26" t="s">
        <v>427</v>
      </c>
      <c r="I26" t="s">
        <v>1082</v>
      </c>
      <c r="J26" t="s">
        <v>1122</v>
      </c>
      <c r="K26" t="s">
        <v>428</v>
      </c>
      <c r="L26" t="s">
        <v>429</v>
      </c>
      <c r="M26" t="s">
        <v>430</v>
      </c>
      <c r="N26" t="s">
        <v>43</v>
      </c>
      <c r="O26" s="4">
        <f>AVERAGE(ParseTime(RunTime1!F26),ParseTime(RunTime2!F26),ParseTime(RunTime3!F26),ParseTime(RunTime4!F26))
/
AVERAGE(ParseTime(RunTime1!J26),ParseTime(RunTime2!J26),ParseTime(RunTime3!J26),ParseTime(RunTime4!J26))</f>
        <v>162.23421854592948</v>
      </c>
      <c r="P26" s="4">
        <f>AVERAGE(ParseTime(RunTime1!F26),ParseTime(RunTime2!F26),ParseTime(RunTime3!F26),ParseTime(RunTime4!F26))
/
AVERAGE(ParseTime(RunTime1!I26),ParseTime(RunTime2!I26),ParseTime(RunTime3!I26),ParseTime(RunTime4!I26))</f>
        <v>190.56609562771672</v>
      </c>
      <c r="Q26" s="4">
        <f>AVERAGE(ParseTime(RunTime1!H26),ParseTime(RunTime2!H26),ParseTime(RunTime3!H26),ParseTime(RunTime4!H26))
/
AVERAGE(ParseTime(RunTime1!J26),ParseTime(RunTime2!J26),ParseTime(RunTime3!J26),ParseTime(RunTime4!J26))</f>
        <v>0.9254099550137862</v>
      </c>
      <c r="R26" s="4">
        <f>AVERAGE(ParseTime(RunTime1!G26),ParseTime(RunTime2!G26),ParseTime(RunTime3!G26),ParseTime(RunTime4!G26))
/
AVERAGE(ParseTime(RunTime1!I26),ParseTime(RunTime2!I26),ParseTime(RunTime3!I26),ParseTime(RunTime4!I26))</f>
        <v>0.75087360436376038</v>
      </c>
      <c r="S26" s="4">
        <f>AVERAGE(ParseTime(RunTime1!H26),ParseTime(RunTime2!H26),ParseTime(RunTime3!H26),ParseTime(RunTime4!H26))
/
AVERAGE(ParseTime(RunTime1!I26),ParseTime(RunTime2!I26),ParseTime(RunTime3!I26),ParseTime(RunTime4!I26))</f>
        <v>1.087019517599932</v>
      </c>
      <c r="T26" s="4">
        <f>AVERAGE(ParseTime(RunTime1!G26),ParseTime(RunTime2!G26),ParseTime(RunTime3!G26),ParseTime(RunTime4!G26))
/
AVERAGE(ParseTime(RunTime1!J26),ParseTime(RunTime2!J26),ParseTime(RunTime3!J26),ParseTime(RunTime4!J26))</f>
        <v>0.63923958786823398</v>
      </c>
      <c r="U26" t="s">
        <v>18</v>
      </c>
    </row>
    <row r="27" spans="1:21" x14ac:dyDescent="0.25">
      <c r="A27" t="s">
        <v>294</v>
      </c>
      <c r="B27" t="s">
        <v>162</v>
      </c>
      <c r="C27" t="s">
        <v>19</v>
      </c>
      <c r="D27" s="1">
        <v>159427</v>
      </c>
      <c r="E27">
        <v>2</v>
      </c>
      <c r="F27" t="s">
        <v>431</v>
      </c>
      <c r="G27" t="s">
        <v>432</v>
      </c>
      <c r="H27" t="s">
        <v>433</v>
      </c>
      <c r="I27" t="s">
        <v>1083</v>
      </c>
      <c r="J27" t="s">
        <v>1123</v>
      </c>
      <c r="K27" t="s">
        <v>41</v>
      </c>
      <c r="L27" t="s">
        <v>434</v>
      </c>
      <c r="M27" t="s">
        <v>435</v>
      </c>
      <c r="N27" t="s">
        <v>230</v>
      </c>
      <c r="O27" s="4">
        <f>AVERAGE(ParseTime(RunTime1!F27),ParseTime(RunTime2!F27),ParseTime(RunTime3!F27),ParseTime(RunTime4!F27))
/
AVERAGE(ParseTime(RunTime1!J27),ParseTime(RunTime2!J27),ParseTime(RunTime3!J27),ParseTime(RunTime4!J27))</f>
        <v>186.04765419947506</v>
      </c>
      <c r="P27" s="4">
        <f>AVERAGE(ParseTime(RunTime1!F27),ParseTime(RunTime2!F27),ParseTime(RunTime3!F27),ParseTime(RunTime4!F27))
/
AVERAGE(ParseTime(RunTime1!I27),ParseTime(RunTime2!I27),ParseTime(RunTime3!I27),ParseTime(RunTime4!I27))</f>
        <v>191.01414736842105</v>
      </c>
      <c r="Q27" s="4">
        <f>AVERAGE(ParseTime(RunTime1!H27),ParseTime(RunTime2!H27),ParseTime(RunTime3!H27),ParseTime(RunTime4!H27))
/
AVERAGE(ParseTime(RunTime1!J27),ParseTime(RunTime2!J27),ParseTime(RunTime3!J27),ParseTime(RunTime4!J27))</f>
        <v>1.3914041994750654</v>
      </c>
      <c r="R27" s="4">
        <f>AVERAGE(ParseTime(RunTime1!G27),ParseTime(RunTime2!G27),ParseTime(RunTime3!G27),ParseTime(RunTime4!G27))
/
AVERAGE(ParseTime(RunTime1!I27),ParseTime(RunTime2!I27),ParseTime(RunTime3!I27),ParseTime(RunTime4!I27))</f>
        <v>0.6266947368421053</v>
      </c>
      <c r="S27" s="4">
        <f>AVERAGE(ParseTime(RunTime1!H27),ParseTime(RunTime2!H27),ParseTime(RunTime3!H27),ParseTime(RunTime4!H27))
/
AVERAGE(ParseTime(RunTime1!I27),ParseTime(RunTime2!I27),ParseTime(RunTime3!I27),ParseTime(RunTime4!I27))</f>
        <v>1.4285473684210526</v>
      </c>
      <c r="T27" s="4">
        <f>AVERAGE(ParseTime(RunTime1!G27),ParseTime(RunTime2!G27),ParseTime(RunTime3!G27),ParseTime(RunTime4!G27))
/
AVERAGE(ParseTime(RunTime1!J27),ParseTime(RunTime2!J27),ParseTime(RunTime3!J27),ParseTime(RunTime4!J27))</f>
        <v>0.61040026246719159</v>
      </c>
      <c r="U27" t="s">
        <v>18</v>
      </c>
    </row>
    <row r="28" spans="1:21" x14ac:dyDescent="0.25">
      <c r="A28" t="s">
        <v>294</v>
      </c>
      <c r="B28" t="s">
        <v>174</v>
      </c>
      <c r="C28" t="s">
        <v>11</v>
      </c>
      <c r="D28" s="1">
        <v>128463</v>
      </c>
      <c r="E28">
        <v>2</v>
      </c>
      <c r="F28" t="s">
        <v>436</v>
      </c>
      <c r="G28" t="s">
        <v>437</v>
      </c>
      <c r="H28" t="s">
        <v>438</v>
      </c>
      <c r="I28" t="s">
        <v>1084</v>
      </c>
      <c r="J28" t="s">
        <v>1124</v>
      </c>
      <c r="K28" t="s">
        <v>47</v>
      </c>
      <c r="L28" t="s">
        <v>439</v>
      </c>
      <c r="M28" t="s">
        <v>440</v>
      </c>
      <c r="N28" t="s">
        <v>1057</v>
      </c>
      <c r="O28" s="4">
        <f>AVERAGE(ParseTime(RunTime1!F28),ParseTime(RunTime2!F28),ParseTime(RunTime3!F28),ParseTime(RunTime4!F28))
/
AVERAGE(ParseTime(RunTime1!J28),ParseTime(RunTime2!J28),ParseTime(RunTime3!J28),ParseTime(RunTime4!J28))</f>
        <v>191.62394833007565</v>
      </c>
      <c r="P28" s="4">
        <f>AVERAGE(ParseTime(RunTime1!F28),ParseTime(RunTime2!F28),ParseTime(RunTime3!F28),ParseTime(RunTime4!F28))
/
AVERAGE(ParseTime(RunTime1!I28),ParseTime(RunTime2!I28),ParseTime(RunTime3!I28),ParseTime(RunTime4!I28))</f>
        <v>169.70264167983746</v>
      </c>
      <c r="Q28" s="4">
        <f>AVERAGE(ParseTime(RunTime1!H28),ParseTime(RunTime2!H28),ParseTime(RunTime3!H28),ParseTime(RunTime4!H28))
/
AVERAGE(ParseTime(RunTime1!J28),ParseTime(RunTime2!J28),ParseTime(RunTime3!J28),ParseTime(RunTime4!J28))</f>
        <v>0.97441998810232022</v>
      </c>
      <c r="R28" s="4">
        <f>AVERAGE(ParseTime(RunTime1!G28),ParseTime(RunTime2!G28),ParseTime(RunTime3!G28),ParseTime(RunTime4!G28))
/
AVERAGE(ParseTime(RunTime1!I28),ParseTime(RunTime2!I28),ParseTime(RunTime3!I28),ParseTime(RunTime4!I28))</f>
        <v>0.70512531045382709</v>
      </c>
      <c r="S28" s="4">
        <f>AVERAGE(ParseTime(RunTime1!H28),ParseTime(RunTime2!H28),ParseTime(RunTime3!H28),ParseTime(RunTime4!H28))
/
AVERAGE(ParseTime(RunTime1!I28),ParseTime(RunTime2!I28),ParseTime(RunTime3!I28),ParseTime(RunTime4!I28))</f>
        <v>0.86294874689546186</v>
      </c>
      <c r="T28" s="4">
        <f>AVERAGE(ParseTime(RunTime1!G28),ParseTime(RunTime2!G28),ParseTime(RunTime3!G28),ParseTime(RunTime4!G28))
/
AVERAGE(ParseTime(RunTime1!J28),ParseTime(RunTime2!J28),ParseTime(RunTime3!J28),ParseTime(RunTime4!J28))</f>
        <v>0.79620973910087534</v>
      </c>
      <c r="U28" t="s">
        <v>18</v>
      </c>
    </row>
    <row r="29" spans="1:21" x14ac:dyDescent="0.25">
      <c r="A29" t="s">
        <v>294</v>
      </c>
      <c r="B29" t="s">
        <v>174</v>
      </c>
      <c r="C29" t="s">
        <v>19</v>
      </c>
      <c r="D29" s="1">
        <v>128992</v>
      </c>
      <c r="E29">
        <v>2</v>
      </c>
      <c r="F29" t="s">
        <v>441</v>
      </c>
      <c r="G29" t="s">
        <v>442</v>
      </c>
      <c r="H29" t="s">
        <v>443</v>
      </c>
      <c r="I29" t="s">
        <v>1085</v>
      </c>
      <c r="J29" t="s">
        <v>1125</v>
      </c>
      <c r="K29" t="s">
        <v>444</v>
      </c>
      <c r="L29" t="s">
        <v>445</v>
      </c>
      <c r="M29" t="s">
        <v>446</v>
      </c>
      <c r="N29" t="s">
        <v>15</v>
      </c>
      <c r="O29" s="4">
        <f>AVERAGE(ParseTime(RunTime1!F29),ParseTime(RunTime2!F29),ParseTime(RunTime3!F29),ParseTime(RunTime4!F29))
/
AVERAGE(ParseTime(RunTime1!J29),ParseTime(RunTime2!J29),ParseTime(RunTime3!J29),ParseTime(RunTime4!J29))</f>
        <v>156.05231484647473</v>
      </c>
      <c r="P29" s="4">
        <f>AVERAGE(ParseTime(RunTime1!F29),ParseTime(RunTime2!F29),ParseTime(RunTime3!F29),ParseTime(RunTime4!F29))
/
AVERAGE(ParseTime(RunTime1!I29),ParseTime(RunTime2!I29),ParseTime(RunTime3!I29),ParseTime(RunTime4!I29))</f>
        <v>190.16274999999999</v>
      </c>
      <c r="Q29" s="4">
        <f>AVERAGE(ParseTime(RunTime1!H29),ParseTime(RunTime2!H29),ParseTime(RunTime3!H29),ParseTime(RunTime4!H29))
/
AVERAGE(ParseTime(RunTime1!J29),ParseTime(RunTime2!J29),ParseTime(RunTime3!J29),ParseTime(RunTime4!J29))</f>
        <v>0.48061273336524646</v>
      </c>
      <c r="R29" s="4">
        <f>AVERAGE(ParseTime(RunTime1!G29),ParseTime(RunTime2!G29),ParseTime(RunTime3!G29),ParseTime(RunTime4!G29))
/
AVERAGE(ParseTime(RunTime1!I29),ParseTime(RunTime2!I29),ParseTime(RunTime3!I29),ParseTime(RunTime4!I29))</f>
        <v>0.87608333333333333</v>
      </c>
      <c r="S29" s="4">
        <f>AVERAGE(ParseTime(RunTime1!H29),ParseTime(RunTime2!H29),ParseTime(RunTime3!H29),ParseTime(RunTime4!H29))
/
AVERAGE(ParseTime(RunTime1!I29),ParseTime(RunTime2!I29),ParseTime(RunTime3!I29),ParseTime(RunTime4!I29))</f>
        <v>0.58566666666666667</v>
      </c>
      <c r="T29" s="4">
        <f>AVERAGE(ParseTime(RunTime1!G29),ParseTime(RunTime2!G29),ParseTime(RunTime3!G29),ParseTime(RunTime4!G29))
/
AVERAGE(ParseTime(RunTime1!J29),ParseTime(RunTime2!J29),ParseTime(RunTime3!J29),ParseTime(RunTime4!J29))</f>
        <v>0.71893592286124597</v>
      </c>
      <c r="U29" t="s">
        <v>18</v>
      </c>
    </row>
    <row r="30" spans="1:21" x14ac:dyDescent="0.25">
      <c r="A30" t="s">
        <v>294</v>
      </c>
      <c r="B30" t="s">
        <v>187</v>
      </c>
      <c r="C30" t="s">
        <v>11</v>
      </c>
      <c r="D30" s="1">
        <v>123182</v>
      </c>
      <c r="E30">
        <v>2</v>
      </c>
      <c r="F30" t="s">
        <v>447</v>
      </c>
      <c r="G30" t="s">
        <v>448</v>
      </c>
      <c r="H30" t="s">
        <v>449</v>
      </c>
      <c r="I30" t="s">
        <v>676</v>
      </c>
      <c r="J30" t="s">
        <v>1126</v>
      </c>
      <c r="K30" t="s">
        <v>360</v>
      </c>
      <c r="L30" t="s">
        <v>450</v>
      </c>
      <c r="M30" t="s">
        <v>451</v>
      </c>
      <c r="N30" t="s">
        <v>43</v>
      </c>
      <c r="O30" s="4">
        <f>AVERAGE(ParseTime(RunTime1!F30),ParseTime(RunTime2!F30),ParseTime(RunTime3!F30),ParseTime(RunTime4!F30))
/
AVERAGE(ParseTime(RunTime1!J30),ParseTime(RunTime2!J30),ParseTime(RunTime3!J30),ParseTime(RunTime4!J30))</f>
        <v>218.40197986293259</v>
      </c>
      <c r="P30" s="4">
        <f>AVERAGE(ParseTime(RunTime1!F30),ParseTime(RunTime2!F30),ParseTime(RunTime3!F30),ParseTime(RunTime4!F30))
/
AVERAGE(ParseTime(RunTime1!I30),ParseTime(RunTime2!I30),ParseTime(RunTime3!I30),ParseTime(RunTime4!I30))</f>
        <v>234.7270164590343</v>
      </c>
      <c r="Q30" s="4">
        <f>AVERAGE(ParseTime(RunTime1!H30),ParseTime(RunTime2!H30),ParseTime(RunTime3!H30),ParseTime(RunTime4!H30))
/
AVERAGE(ParseTime(RunTime1!J30),ParseTime(RunTime2!J30),ParseTime(RunTime3!J30),ParseTime(RunTime4!J30))</f>
        <v>0.64210170065149341</v>
      </c>
      <c r="R30" s="4">
        <f>AVERAGE(ParseTime(RunTime1!G30),ParseTime(RunTime2!G30),ParseTime(RunTime3!G30),ParseTime(RunTime4!G30))
/
AVERAGE(ParseTime(RunTime1!I30),ParseTime(RunTime2!I30),ParseTime(RunTime3!I30),ParseTime(RunTime4!I30))</f>
        <v>1.0204601254887697</v>
      </c>
      <c r="S30" s="4">
        <f>AVERAGE(ParseTime(RunTime1!H30),ParseTime(RunTime2!H30),ParseTime(RunTime3!H30),ParseTime(RunTime4!H30))
/
AVERAGE(ParseTime(RunTime1!I30),ParseTime(RunTime2!I30),ParseTime(RunTime3!I30),ParseTime(RunTime4!I30))</f>
        <v>0.69009729926343555</v>
      </c>
      <c r="T30" s="4">
        <f>AVERAGE(ParseTime(RunTime1!G30),ParseTime(RunTime2!G30),ParseTime(RunTime3!G30),ParseTime(RunTime4!G30))
/
AVERAGE(ParseTime(RunTime1!J30),ParseTime(RunTime2!J30),ParseTime(RunTime3!J30),ParseTime(RunTime4!J30))</f>
        <v>0.94948811236145203</v>
      </c>
      <c r="U30" t="s">
        <v>18</v>
      </c>
    </row>
    <row r="31" spans="1:21" x14ac:dyDescent="0.25">
      <c r="A31" t="s">
        <v>294</v>
      </c>
      <c r="B31" t="s">
        <v>187</v>
      </c>
      <c r="C31" t="s">
        <v>19</v>
      </c>
      <c r="D31" s="1">
        <v>117982</v>
      </c>
      <c r="E31">
        <v>2</v>
      </c>
      <c r="F31" t="s">
        <v>452</v>
      </c>
      <c r="G31" t="s">
        <v>453</v>
      </c>
      <c r="H31" t="s">
        <v>454</v>
      </c>
      <c r="I31" t="s">
        <v>1086</v>
      </c>
      <c r="J31" t="s">
        <v>1127</v>
      </c>
      <c r="K31" t="s">
        <v>365</v>
      </c>
      <c r="L31" t="s">
        <v>455</v>
      </c>
      <c r="M31" t="s">
        <v>456</v>
      </c>
      <c r="N31" t="s">
        <v>230</v>
      </c>
      <c r="O31" s="4">
        <f>AVERAGE(ParseTime(RunTime1!F31),ParseTime(RunTime2!F31),ParseTime(RunTime3!F31),ParseTime(RunTime4!F31))
/
AVERAGE(ParseTime(RunTime1!J31),ParseTime(RunTime2!J31),ParseTime(RunTime3!J31),ParseTime(RunTime4!J31))</f>
        <v>222.00077246588276</v>
      </c>
      <c r="P31" s="4">
        <f>AVERAGE(ParseTime(RunTime1!F31),ParseTime(RunTime2!F31),ParseTime(RunTime3!F31),ParseTime(RunTime4!F31))
/
AVERAGE(ParseTime(RunTime1!I31),ParseTime(RunTime2!I31),ParseTime(RunTime3!I31),ParseTime(RunTime4!I31))</f>
        <v>213.76289256198348</v>
      </c>
      <c r="Q31" s="4">
        <f>AVERAGE(ParseTime(RunTime1!H31),ParseTime(RunTime2!H31),ParseTime(RunTime3!H31),ParseTime(RunTime4!H31))
/
AVERAGE(ParseTime(RunTime1!J31),ParseTime(RunTime2!J31),ParseTime(RunTime3!J31),ParseTime(RunTime4!J31))</f>
        <v>0.88095442451291728</v>
      </c>
      <c r="R31" s="4">
        <f>AVERAGE(ParseTime(RunTime1!G31),ParseTime(RunTime2!G31),ParseTime(RunTime3!G31),ParseTime(RunTime4!G31))
/
AVERAGE(ParseTime(RunTime1!I31),ParseTime(RunTime2!I31),ParseTime(RunTime3!I31),ParseTime(RunTime4!I31))</f>
        <v>0.79157024793388431</v>
      </c>
      <c r="S31" s="4">
        <f>AVERAGE(ParseTime(RunTime1!H31),ParseTime(RunTime2!H31),ParseTime(RunTime3!H31),ParseTime(RunTime4!H31))
/
AVERAGE(ParseTime(RunTime1!I31),ParseTime(RunTime2!I31),ParseTime(RunTime3!I31),ParseTime(RunTime4!I31))</f>
        <v>0.8482644628099173</v>
      </c>
      <c r="T31" s="4">
        <f>AVERAGE(ParseTime(RunTime1!G31),ParseTime(RunTime2!G31),ParseTime(RunTime3!G31),ParseTime(RunTime4!G31))
/
AVERAGE(ParseTime(RunTime1!J31),ParseTime(RunTime2!J31),ParseTime(RunTime3!J31),ParseTime(RunTime4!J31))</f>
        <v>0.82207535833834</v>
      </c>
      <c r="U31" t="s">
        <v>18</v>
      </c>
    </row>
    <row r="32" spans="1:21" x14ac:dyDescent="0.25">
      <c r="A32" t="s">
        <v>294</v>
      </c>
      <c r="B32" t="s">
        <v>200</v>
      </c>
      <c r="C32" t="s">
        <v>11</v>
      </c>
      <c r="D32" s="1">
        <v>124026</v>
      </c>
      <c r="E32">
        <v>2</v>
      </c>
      <c r="F32" t="s">
        <v>457</v>
      </c>
      <c r="G32" t="s">
        <v>458</v>
      </c>
      <c r="H32" t="s">
        <v>459</v>
      </c>
      <c r="I32" t="s">
        <v>1087</v>
      </c>
      <c r="J32" t="s">
        <v>1128</v>
      </c>
      <c r="K32" t="s">
        <v>327</v>
      </c>
      <c r="L32" t="s">
        <v>460</v>
      </c>
      <c r="M32" t="s">
        <v>461</v>
      </c>
      <c r="N32" t="s">
        <v>1058</v>
      </c>
      <c r="O32" s="4">
        <f>AVERAGE(ParseTime(RunTime1!F32),ParseTime(RunTime2!F32),ParseTime(RunTime3!F32),ParseTime(RunTime4!F32))
/
AVERAGE(ParseTime(RunTime1!J32),ParseTime(RunTime2!J32),ParseTime(RunTime3!J32),ParseTime(RunTime4!J32))</f>
        <v>27.085853518704315</v>
      </c>
      <c r="P32" s="4">
        <f>AVERAGE(ParseTime(RunTime1!F32),ParseTime(RunTime2!F32),ParseTime(RunTime3!F32),ParseTime(RunTime4!F32))
/
AVERAGE(ParseTime(RunTime1!I32),ParseTime(RunTime2!I32),ParseTime(RunTime3!I32),ParseTime(RunTime4!I32))</f>
        <v>31.646654944318847</v>
      </c>
      <c r="Q32" s="4">
        <f>AVERAGE(ParseTime(RunTime1!H32),ParseTime(RunTime2!H32),ParseTime(RunTime3!H32),ParseTime(RunTime4!H32))
/
AVERAGE(ParseTime(RunTime1!J32),ParseTime(RunTime2!J32),ParseTime(RunTime3!J32),ParseTime(RunTime4!J32))</f>
        <v>0.42145621327218008</v>
      </c>
      <c r="R32" s="4">
        <f>AVERAGE(ParseTime(RunTime1!G32),ParseTime(RunTime2!G32),ParseTime(RunTime3!G32),ParseTime(RunTime4!G32))
/
AVERAGE(ParseTime(RunTime1!I32),ParseTime(RunTime2!I32),ParseTime(RunTime3!I32),ParseTime(RunTime4!I32))</f>
        <v>0.63870049401322959</v>
      </c>
      <c r="S32" s="4">
        <f>AVERAGE(ParseTime(RunTime1!H32),ParseTime(RunTime2!H32),ParseTime(RunTime3!H32),ParseTime(RunTime4!H32))
/
AVERAGE(ParseTime(RunTime1!I32),ParseTime(RunTime2!I32),ParseTime(RunTime3!I32),ParseTime(RunTime4!I32))</f>
        <v>0.49242233944570046</v>
      </c>
      <c r="T32" s="4">
        <f>AVERAGE(ParseTime(RunTime1!G32),ParseTime(RunTime2!G32),ParseTime(RunTime3!G32),ParseTime(RunTime4!G32))
/
AVERAGE(ParseTime(RunTime1!J32),ParseTime(RunTime2!J32),ParseTime(RunTime3!J32),ParseTime(RunTime4!J32))</f>
        <v>0.54665328937938951</v>
      </c>
      <c r="U32" t="s">
        <v>18</v>
      </c>
    </row>
    <row r="33" spans="1:21" x14ac:dyDescent="0.25">
      <c r="A33" t="s">
        <v>294</v>
      </c>
      <c r="B33" t="s">
        <v>200</v>
      </c>
      <c r="C33" t="s">
        <v>19</v>
      </c>
      <c r="D33" s="1">
        <v>122501</v>
      </c>
      <c r="E33">
        <v>2</v>
      </c>
      <c r="F33" t="s">
        <v>462</v>
      </c>
      <c r="G33" t="s">
        <v>463</v>
      </c>
      <c r="H33" t="s">
        <v>464</v>
      </c>
      <c r="I33" t="s">
        <v>1088</v>
      </c>
      <c r="J33" t="s">
        <v>1129</v>
      </c>
      <c r="K33" t="s">
        <v>465</v>
      </c>
      <c r="L33" t="s">
        <v>466</v>
      </c>
      <c r="M33" t="s">
        <v>467</v>
      </c>
      <c r="N33" t="s">
        <v>1056</v>
      </c>
      <c r="O33" s="4">
        <f>AVERAGE(ParseTime(RunTime1!F33),ParseTime(RunTime2!F33),ParseTime(RunTime3!F33),ParseTime(RunTime4!F33))
/
AVERAGE(ParseTime(RunTime1!J33),ParseTime(RunTime2!J33),ParseTime(RunTime3!J33),ParseTime(RunTime4!J33))</f>
        <v>30.650068598176098</v>
      </c>
      <c r="P33" s="4">
        <f>AVERAGE(ParseTime(RunTime1!F33),ParseTime(RunTime2!F33),ParseTime(RunTime3!F33),ParseTime(RunTime4!F33))
/
AVERAGE(ParseTime(RunTime1!I33),ParseTime(RunTime2!I33),ParseTime(RunTime3!I33),ParseTime(RunTime4!I33))</f>
        <v>37.613647618104395</v>
      </c>
      <c r="Q33" s="4">
        <f>AVERAGE(ParseTime(RunTime1!H33),ParseTime(RunTime2!H33),ParseTime(RunTime3!H33),ParseTime(RunTime4!H33))
/
AVERAGE(ParseTime(RunTime1!J33),ParseTime(RunTime2!J33),ParseTime(RunTime3!J33),ParseTime(RunTime4!J33))</f>
        <v>0.5714631587442498</v>
      </c>
      <c r="R33" s="4">
        <f>AVERAGE(ParseTime(RunTime1!G33),ParseTime(RunTime2!G33),ParseTime(RunTime3!G33),ParseTime(RunTime4!G33))
/
AVERAGE(ParseTime(RunTime1!I33),ParseTime(RunTime2!I33),ParseTime(RunTime3!I33),ParseTime(RunTime4!I33))</f>
        <v>0.7834010102010498</v>
      </c>
      <c r="S33" s="4">
        <f>AVERAGE(ParseTime(RunTime1!H33),ParseTime(RunTime2!H33),ParseTime(RunTime3!H33),ParseTime(RunTime4!H33))
/
AVERAGE(ParseTime(RunTime1!I33),ParseTime(RunTime2!I33),ParseTime(RunTime3!I33),ParseTime(RunTime4!I33))</f>
        <v>0.70129741507378429</v>
      </c>
      <c r="T33" s="4">
        <f>AVERAGE(ParseTime(RunTime1!G33),ParseTime(RunTime2!G33),ParseTime(RunTime3!G33),ParseTime(RunTime4!G33))
/
AVERAGE(ParseTime(RunTime1!J33),ParseTime(RunTime2!J33),ParseTime(RunTime3!J33),ParseTime(RunTime4!J33))</f>
        <v>0.63836655637155992</v>
      </c>
      <c r="U33" t="s">
        <v>18</v>
      </c>
    </row>
    <row r="34" spans="1:21" x14ac:dyDescent="0.25">
      <c r="A34" t="s">
        <v>294</v>
      </c>
      <c r="B34" t="s">
        <v>213</v>
      </c>
      <c r="C34" t="s">
        <v>11</v>
      </c>
      <c r="D34" s="1">
        <v>116275</v>
      </c>
      <c r="E34">
        <v>2</v>
      </c>
      <c r="F34" t="s">
        <v>468</v>
      </c>
      <c r="G34" t="s">
        <v>469</v>
      </c>
      <c r="H34" t="s">
        <v>470</v>
      </c>
      <c r="I34" t="s">
        <v>841</v>
      </c>
      <c r="J34" t="s">
        <v>1130</v>
      </c>
      <c r="K34" t="s">
        <v>471</v>
      </c>
      <c r="L34" t="s">
        <v>472</v>
      </c>
      <c r="M34" t="s">
        <v>473</v>
      </c>
      <c r="N34" t="s">
        <v>73</v>
      </c>
      <c r="O34" s="4">
        <f>AVERAGE(ParseTime(RunTime1!F34),ParseTime(RunTime2!F34),ParseTime(RunTime3!F34),ParseTime(RunTime4!F34))
/
AVERAGE(ParseTime(RunTime1!J34),ParseTime(RunTime2!J34),ParseTime(RunTime3!J34),ParseTime(RunTime4!J34))</f>
        <v>1.9758671226184661</v>
      </c>
      <c r="P34" s="4">
        <f>AVERAGE(ParseTime(RunTime1!F34),ParseTime(RunTime2!F34),ParseTime(RunTime3!F34),ParseTime(RunTime4!F34))
/
AVERAGE(ParseTime(RunTime1!I34),ParseTime(RunTime2!I34),ParseTime(RunTime3!I34),ParseTime(RunTime4!I34))</f>
        <v>2.0743666017027387</v>
      </c>
      <c r="Q34" s="4">
        <f>AVERAGE(ParseTime(RunTime1!H34),ParseTime(RunTime2!H34),ParseTime(RunTime3!H34),ParseTime(RunTime4!H34))
/
AVERAGE(ParseTime(RunTime1!J34),ParseTime(RunTime2!J34),ParseTime(RunTime3!J34),ParseTime(RunTime4!J34))</f>
        <v>0.69653150952613585</v>
      </c>
      <c r="R34" s="4">
        <f>AVERAGE(ParseTime(RunTime1!G34),ParseTime(RunTime2!G34),ParseTime(RunTime3!G34),ParseTime(RunTime4!G34))
/
AVERAGE(ParseTime(RunTime1!I34),ParseTime(RunTime2!I34),ParseTime(RunTime3!I34),ParseTime(RunTime4!I34))</f>
        <v>0.80705713406503232</v>
      </c>
      <c r="S34" s="4">
        <f>AVERAGE(ParseTime(RunTime1!H34),ParseTime(RunTime2!H34),ParseTime(RunTime3!H34),ParseTime(RunTime4!H34))
/
AVERAGE(ParseTime(RunTime1!I34),ParseTime(RunTime2!I34),ParseTime(RunTime3!I34),ParseTime(RunTime4!I34))</f>
        <v>0.73125448763975798</v>
      </c>
      <c r="T34" s="4">
        <f>AVERAGE(ParseTime(RunTime1!G34),ParseTime(RunTime2!G34),ParseTime(RunTime3!G34),ParseTime(RunTime4!G34))
/
AVERAGE(ParseTime(RunTime1!J34),ParseTime(RunTime2!J34),ParseTime(RunTime3!J34),ParseTime(RunTime4!J34))</f>
        <v>0.76873473375671708</v>
      </c>
      <c r="U34" t="s">
        <v>18</v>
      </c>
    </row>
    <row r="35" spans="1:21" x14ac:dyDescent="0.25">
      <c r="A35" t="s">
        <v>294</v>
      </c>
      <c r="B35" t="s">
        <v>213</v>
      </c>
      <c r="C35" t="s">
        <v>19</v>
      </c>
      <c r="D35" s="1">
        <v>108110</v>
      </c>
      <c r="E35">
        <v>2</v>
      </c>
      <c r="F35" t="s">
        <v>474</v>
      </c>
      <c r="G35" t="s">
        <v>475</v>
      </c>
      <c r="H35" t="s">
        <v>476</v>
      </c>
      <c r="I35" t="s">
        <v>1089</v>
      </c>
      <c r="J35" t="s">
        <v>1131</v>
      </c>
      <c r="K35" t="s">
        <v>230</v>
      </c>
      <c r="L35" t="s">
        <v>477</v>
      </c>
      <c r="M35" t="s">
        <v>478</v>
      </c>
      <c r="N35" t="s">
        <v>818</v>
      </c>
      <c r="O35" s="4">
        <f>AVERAGE(ParseTime(RunTime1!F35),ParseTime(RunTime2!F35),ParseTime(RunTime3!F35),ParseTime(RunTime4!F35))
/
AVERAGE(ParseTime(RunTime1!J35),ParseTime(RunTime2!J35),ParseTime(RunTime3!J35),ParseTime(RunTime4!J35))</f>
        <v>1.7929200598304804</v>
      </c>
      <c r="P35" s="4">
        <f>AVERAGE(ParseTime(RunTime1!F35),ParseTime(RunTime2!F35),ParseTime(RunTime3!F35),ParseTime(RunTime4!F35))
/
AVERAGE(ParseTime(RunTime1!I35),ParseTime(RunTime2!I35),ParseTime(RunTime3!I35),ParseTime(RunTime4!I35))</f>
        <v>1.8360990553995407</v>
      </c>
      <c r="Q35" s="4">
        <f>AVERAGE(ParseTime(RunTime1!H35),ParseTime(RunTime2!H35),ParseTime(RunTime3!H35),ParseTime(RunTime4!H35))
/
AVERAGE(ParseTime(RunTime1!J35),ParseTime(RunTime2!J35),ParseTime(RunTime3!J35),ParseTime(RunTime4!J35))</f>
        <v>0.54852916735914903</v>
      </c>
      <c r="R35" s="4">
        <f>AVERAGE(ParseTime(RunTime1!G35),ParseTime(RunTime2!G35),ParseTime(RunTime3!G35),ParseTime(RunTime4!G35))
/
AVERAGE(ParseTime(RunTime1!I35),ParseTime(RunTime2!I35),ParseTime(RunTime3!I35),ParseTime(RunTime4!I35))</f>
        <v>0.51238192494255808</v>
      </c>
      <c r="S35" s="4">
        <f>AVERAGE(ParseTime(RunTime1!H35),ParseTime(RunTime2!H35),ParseTime(RunTime3!H35),ParseTime(RunTime4!H35))
/
AVERAGE(ParseTime(RunTime1!I35),ParseTime(RunTime2!I35),ParseTime(RunTime3!I35),ParseTime(RunTime4!I35))</f>
        <v>0.56173942643179298</v>
      </c>
      <c r="T35" s="4">
        <f>AVERAGE(ParseTime(RunTime1!G35),ParseTime(RunTime2!G35),ParseTime(RunTime3!G35),ParseTime(RunTime4!G35))
/
AVERAGE(ParseTime(RunTime1!J35),ParseTime(RunTime2!J35),ParseTime(RunTime3!J35),ParseTime(RunTime4!J35))</f>
        <v>0.50033239155725451</v>
      </c>
      <c r="U35" t="s">
        <v>18</v>
      </c>
    </row>
    <row r="36" spans="1:21" x14ac:dyDescent="0.25">
      <c r="A36" t="s">
        <v>294</v>
      </c>
      <c r="B36" t="s">
        <v>226</v>
      </c>
      <c r="C36" t="s">
        <v>11</v>
      </c>
      <c r="D36" s="1">
        <v>120233</v>
      </c>
      <c r="E36">
        <v>2</v>
      </c>
      <c r="F36" t="s">
        <v>479</v>
      </c>
      <c r="G36" t="s">
        <v>480</v>
      </c>
      <c r="H36" t="s">
        <v>481</v>
      </c>
      <c r="I36" t="s">
        <v>619</v>
      </c>
      <c r="J36" t="s">
        <v>1132</v>
      </c>
      <c r="K36" t="s">
        <v>191</v>
      </c>
      <c r="L36" t="s">
        <v>482</v>
      </c>
      <c r="M36" t="s">
        <v>483</v>
      </c>
      <c r="N36" t="s">
        <v>245</v>
      </c>
      <c r="O36" s="4">
        <f>AVERAGE(ParseTime(RunTime1!F36),ParseTime(RunTime2!F36),ParseTime(RunTime3!F36),ParseTime(RunTime4!F36))
/
AVERAGE(ParseTime(RunTime1!J36),ParseTime(RunTime2!J36),ParseTime(RunTime3!J36),ParseTime(RunTime4!J36))</f>
        <v>1.6385116279069769</v>
      </c>
      <c r="P36" s="4">
        <f>AVERAGE(ParseTime(RunTime1!F36),ParseTime(RunTime2!F36),ParseTime(RunTime3!F36),ParseTime(RunTime4!F36))
/
AVERAGE(ParseTime(RunTime1!I36),ParseTime(RunTime2!I36),ParseTime(RunTime3!I36),ParseTime(RunTime4!I36))</f>
        <v>1.8712418995006905</v>
      </c>
      <c r="Q36" s="4">
        <f>AVERAGE(ParseTime(RunTime1!H36),ParseTime(RunTime2!H36),ParseTime(RunTime3!H36),ParseTime(RunTime4!H36))
/
AVERAGE(ParseTime(RunTime1!J36),ParseTime(RunTime2!J36),ParseTime(RunTime3!J36),ParseTime(RunTime4!J36))</f>
        <v>0.50427906976744186</v>
      </c>
      <c r="R36" s="4">
        <f>AVERAGE(ParseTime(RunTime1!G36),ParseTime(RunTime2!G36),ParseTime(RunTime3!G36),ParseTime(RunTime4!G36))
/
AVERAGE(ParseTime(RunTime1!I36),ParseTime(RunTime2!I36),ParseTime(RunTime3!I36),ParseTime(RunTime4!I36))</f>
        <v>0.86529268033570583</v>
      </c>
      <c r="S36" s="4">
        <f>AVERAGE(ParseTime(RunTime1!H36),ParseTime(RunTime2!H36),ParseTime(RunTime3!H36),ParseTime(RunTime4!H36))
/
AVERAGE(ParseTime(RunTime1!I36),ParseTime(RunTime2!I36),ParseTime(RunTime3!I36),ParseTime(RunTime4!I36))</f>
        <v>0.5759056623818124</v>
      </c>
      <c r="T36" s="4">
        <f>AVERAGE(ParseTime(RunTime1!G36),ParseTime(RunTime2!G36),ParseTime(RunTime3!G36),ParseTime(RunTime4!G36))
/
AVERAGE(ParseTime(RunTime1!J36),ParseTime(RunTime2!J36),ParseTime(RunTime3!J36),ParseTime(RunTime4!J36))</f>
        <v>0.75767441860465112</v>
      </c>
      <c r="U36" t="s">
        <v>18</v>
      </c>
    </row>
    <row r="37" spans="1:21" x14ac:dyDescent="0.25">
      <c r="A37" t="s">
        <v>294</v>
      </c>
      <c r="B37" t="s">
        <v>226</v>
      </c>
      <c r="C37" t="s">
        <v>19</v>
      </c>
      <c r="D37" s="1">
        <v>121425</v>
      </c>
      <c r="E37">
        <v>2</v>
      </c>
      <c r="F37" t="s">
        <v>484</v>
      </c>
      <c r="G37" t="s">
        <v>485</v>
      </c>
      <c r="H37" t="s">
        <v>486</v>
      </c>
      <c r="I37" t="s">
        <v>1090</v>
      </c>
      <c r="J37" t="s">
        <v>1133</v>
      </c>
      <c r="K37" t="s">
        <v>36</v>
      </c>
      <c r="L37" t="s">
        <v>487</v>
      </c>
      <c r="M37" t="s">
        <v>488</v>
      </c>
      <c r="N37" t="s">
        <v>106</v>
      </c>
      <c r="O37" s="4">
        <f>AVERAGE(ParseTime(RunTime1!F37),ParseTime(RunTime2!F37),ParseTime(RunTime3!F37),ParseTime(RunTime4!F37))
/
AVERAGE(ParseTime(RunTime1!J37),ParseTime(RunTime2!J37),ParseTime(RunTime3!J37),ParseTime(RunTime4!J37))</f>
        <v>1.6762295081967213</v>
      </c>
      <c r="P37" s="4">
        <f>AVERAGE(ParseTime(RunTime1!F37),ParseTime(RunTime2!F37),ParseTime(RunTime3!F37),ParseTime(RunTime4!F37))
/
AVERAGE(ParseTime(RunTime1!I37),ParseTime(RunTime2!I37),ParseTime(RunTime3!I37),ParseTime(RunTime4!I37))</f>
        <v>1.5912848944655187</v>
      </c>
      <c r="Q37" s="4">
        <f>AVERAGE(ParseTime(RunTime1!H37),ParseTime(RunTime2!H37),ParseTime(RunTime3!H37),ParseTime(RunTime4!H37))
/
AVERAGE(ParseTime(RunTime1!J37),ParseTime(RunTime2!J37),ParseTime(RunTime3!J37),ParseTime(RunTime4!J37))</f>
        <v>0.54682377049180331</v>
      </c>
      <c r="R37" s="4">
        <f>AVERAGE(ParseTime(RunTime1!G37),ParseTime(RunTime2!G37),ParseTime(RunTime3!G37),ParseTime(RunTime4!G37))
/
AVERAGE(ParseTime(RunTime1!I37),ParseTime(RunTime2!I37),ParseTime(RunTime3!I37),ParseTime(RunTime4!I37))</f>
        <v>0.51629218947573186</v>
      </c>
      <c r="S37" s="4">
        <f>AVERAGE(ParseTime(RunTime1!H37),ParseTime(RunTime2!H37),ParseTime(RunTime3!H37),ParseTime(RunTime4!H37))
/
AVERAGE(ParseTime(RunTime1!I37),ParseTime(RunTime2!I37),ParseTime(RunTime3!I37),ParseTime(RunTime4!I37))</f>
        <v>0.5191129267580975</v>
      </c>
      <c r="T37" s="4">
        <f>AVERAGE(ParseTime(RunTime1!G37),ParseTime(RunTime2!G37),ParseTime(RunTime3!G37),ParseTime(RunTime4!G37))
/
AVERAGE(ParseTime(RunTime1!J37),ParseTime(RunTime2!J37),ParseTime(RunTime3!J37),ParseTime(RunTime4!J37))</f>
        <v>0.54385245901639345</v>
      </c>
      <c r="U37" t="s">
        <v>18</v>
      </c>
    </row>
    <row r="38" spans="1:21" x14ac:dyDescent="0.25">
      <c r="A38" t="s">
        <v>294</v>
      </c>
      <c r="B38" t="s">
        <v>236</v>
      </c>
      <c r="C38" t="s">
        <v>11</v>
      </c>
      <c r="D38" s="1">
        <v>90920</v>
      </c>
      <c r="E38">
        <v>2</v>
      </c>
      <c r="F38" t="s">
        <v>489</v>
      </c>
      <c r="G38" t="s">
        <v>490</v>
      </c>
      <c r="H38" t="s">
        <v>491</v>
      </c>
      <c r="I38" t="s">
        <v>1091</v>
      </c>
      <c r="J38" t="s">
        <v>1134</v>
      </c>
      <c r="K38" t="s">
        <v>492</v>
      </c>
      <c r="L38" t="s">
        <v>493</v>
      </c>
      <c r="M38" t="s">
        <v>494</v>
      </c>
      <c r="N38" t="s">
        <v>347</v>
      </c>
      <c r="O38" s="4">
        <f>AVERAGE(ParseTime(RunTime1!F38),ParseTime(RunTime2!F38),ParseTime(RunTime3!F38),ParseTime(RunTime4!F38))
/
AVERAGE(ParseTime(RunTime1!J38),ParseTime(RunTime2!J38),ParseTime(RunTime3!J38),ParseTime(RunTime4!J38))</f>
        <v>3.4453968253968252</v>
      </c>
      <c r="P38" s="4">
        <f>AVERAGE(ParseTime(RunTime1!F38),ParseTime(RunTime2!F38),ParseTime(RunTime3!F38),ParseTime(RunTime4!F38))
/
AVERAGE(ParseTime(RunTime1!I38),ParseTime(RunTime2!I38),ParseTime(RunTime3!I38),ParseTime(RunTime4!I38))</f>
        <v>3.5846086094902563</v>
      </c>
      <c r="Q38" s="4">
        <f>AVERAGE(ParseTime(RunTime1!H38),ParseTime(RunTime2!H38),ParseTime(RunTime3!H38),ParseTime(RunTime4!H38))
/
AVERAGE(ParseTime(RunTime1!J38),ParseTime(RunTime2!J38),ParseTime(RunTime3!J38),ParseTime(RunTime4!J38))</f>
        <v>0.42603174603174604</v>
      </c>
      <c r="R38" s="4">
        <f>AVERAGE(ParseTime(RunTime1!G38),ParseTime(RunTime2!G38),ParseTime(RunTime3!G38),ParseTime(RunTime4!G38))
/
AVERAGE(ParseTime(RunTime1!I38),ParseTime(RunTime2!I38),ParseTime(RunTime3!I38),ParseTime(RunTime4!I38))</f>
        <v>0.6439502367059341</v>
      </c>
      <c r="S38" s="4">
        <f>AVERAGE(ParseTime(RunTime1!H38),ParseTime(RunTime2!H38),ParseTime(RunTime3!H38),ParseTime(RunTime4!H38))
/
AVERAGE(ParseTime(RunTime1!I38),ParseTime(RunTime2!I38),ParseTime(RunTime3!I38),ParseTime(RunTime4!I38))</f>
        <v>0.44324562369261256</v>
      </c>
      <c r="T38" s="4">
        <f>AVERAGE(ParseTime(RunTime1!G38),ParseTime(RunTime2!G38),ParseTime(RunTime3!G38),ParseTime(RunTime4!G38))
/
AVERAGE(ParseTime(RunTime1!J38),ParseTime(RunTime2!J38),ParseTime(RunTime3!J38),ParseTime(RunTime4!J38))</f>
        <v>0.6189417989417989</v>
      </c>
      <c r="U38" t="s">
        <v>18</v>
      </c>
    </row>
    <row r="39" spans="1:21" x14ac:dyDescent="0.25">
      <c r="A39" t="s">
        <v>294</v>
      </c>
      <c r="B39" t="s">
        <v>236</v>
      </c>
      <c r="C39" t="s">
        <v>19</v>
      </c>
      <c r="D39" s="1">
        <v>93414</v>
      </c>
      <c r="E39">
        <v>2</v>
      </c>
      <c r="F39" t="s">
        <v>495</v>
      </c>
      <c r="G39" t="s">
        <v>496</v>
      </c>
      <c r="H39" t="s">
        <v>497</v>
      </c>
      <c r="I39" t="s">
        <v>1092</v>
      </c>
      <c r="J39" t="s">
        <v>1135</v>
      </c>
      <c r="K39" t="s">
        <v>498</v>
      </c>
      <c r="L39" t="s">
        <v>499</v>
      </c>
      <c r="M39" t="s">
        <v>500</v>
      </c>
      <c r="N39" t="s">
        <v>498</v>
      </c>
      <c r="O39" s="4">
        <f>AVERAGE(ParseTime(RunTime1!F39),ParseTime(RunTime2!F39),ParseTime(RunTime3!F39),ParseTime(RunTime4!F39))
/
AVERAGE(ParseTime(RunTime1!J39),ParseTime(RunTime2!J39),ParseTime(RunTime3!J39),ParseTime(RunTime4!J39))</f>
        <v>4.7060074428495486</v>
      </c>
      <c r="P39" s="4">
        <f>AVERAGE(ParseTime(RunTime1!F39),ParseTime(RunTime2!F39),ParseTime(RunTime3!F39),ParseTime(RunTime4!F39))
/
AVERAGE(ParseTime(RunTime1!I39),ParseTime(RunTime2!I39),ParseTime(RunTime3!I39),ParseTime(RunTime4!I39))</f>
        <v>4.5429817808570698</v>
      </c>
      <c r="Q39" s="4">
        <f>AVERAGE(ParseTime(RunTime1!H39),ParseTime(RunTime2!H39),ParseTime(RunTime3!H39),ParseTime(RunTime4!H39))
/
AVERAGE(ParseTime(RunTime1!J39),ParseTime(RunTime2!J39),ParseTime(RunTime3!J39),ParseTime(RunTime4!J39))</f>
        <v>0.68806485911749071</v>
      </c>
      <c r="R39" s="4">
        <f>AVERAGE(ParseTime(RunTime1!G39),ParseTime(RunTime2!G39),ParseTime(RunTime3!G39),ParseTime(RunTime4!G39))
/
AVERAGE(ParseTime(RunTime1!I39),ParseTime(RunTime2!I39),ParseTime(RunTime3!I39),ParseTime(RunTime4!I39))</f>
        <v>0.61534513728509099</v>
      </c>
      <c r="S39" s="4">
        <f>AVERAGE(ParseTime(RunTime1!H39),ParseTime(RunTime2!H39),ParseTime(RunTime3!H39),ParseTime(RunTime4!H39))
/
AVERAGE(ParseTime(RunTime1!I39),ParseTime(RunTime2!I39),ParseTime(RunTime3!I39),ParseTime(RunTime4!I39))</f>
        <v>0.66422889402104168</v>
      </c>
      <c r="T39" s="4">
        <f>AVERAGE(ParseTime(RunTime1!G39),ParseTime(RunTime2!G39),ParseTime(RunTime3!G39),ParseTime(RunTime4!G39))
/
AVERAGE(ParseTime(RunTime1!J39),ParseTime(RunTime2!J39),ParseTime(RunTime3!J39),ParseTime(RunTime4!J39))</f>
        <v>0.63742690058479534</v>
      </c>
      <c r="U39" t="s">
        <v>18</v>
      </c>
    </row>
    <row r="40" spans="1:21" x14ac:dyDescent="0.25">
      <c r="A40" t="s">
        <v>294</v>
      </c>
      <c r="B40" t="s">
        <v>248</v>
      </c>
      <c r="C40" t="s">
        <v>11</v>
      </c>
      <c r="D40" s="1">
        <v>88866</v>
      </c>
      <c r="E40">
        <v>2</v>
      </c>
      <c r="F40" t="s">
        <v>501</v>
      </c>
      <c r="G40" t="s">
        <v>502</v>
      </c>
      <c r="H40" t="s">
        <v>503</v>
      </c>
      <c r="I40" t="s">
        <v>1093</v>
      </c>
      <c r="J40" t="s">
        <v>1136</v>
      </c>
      <c r="K40" t="s">
        <v>504</v>
      </c>
      <c r="L40" t="s">
        <v>418</v>
      </c>
      <c r="M40" t="s">
        <v>505</v>
      </c>
      <c r="N40" t="s">
        <v>184</v>
      </c>
      <c r="O40" s="4">
        <f>AVERAGE(ParseTime(RunTime1!F40),ParseTime(RunTime2!F40),ParseTime(RunTime3!F40),ParseTime(RunTime4!F40))
/
AVERAGE(ParseTime(RunTime1!J40),ParseTime(RunTime2!J40),ParseTime(RunTime3!J40),ParseTime(RunTime4!J40))</f>
        <v>1.4220714428257835</v>
      </c>
      <c r="P40" s="4">
        <f>AVERAGE(ParseTime(RunTime1!F40),ParseTime(RunTime2!F40),ParseTime(RunTime3!F40),ParseTime(RunTime4!F40))
/
AVERAGE(ParseTime(RunTime1!I40),ParseTime(RunTime2!I40),ParseTime(RunTime3!I40),ParseTime(RunTime4!I40))</f>
        <v>1.6064021641118127</v>
      </c>
      <c r="Q40" s="4">
        <f>AVERAGE(ParseTime(RunTime1!H40),ParseTime(RunTime2!H40),ParseTime(RunTime3!H40),ParseTime(RunTime4!H40))
/
AVERAGE(ParseTime(RunTime1!J40),ParseTime(RunTime2!J40),ParseTime(RunTime3!J40),ParseTime(RunTime4!J40))</f>
        <v>0.42107363799640785</v>
      </c>
      <c r="R40" s="4">
        <f>AVERAGE(ParseTime(RunTime1!G40),ParseTime(RunTime2!G40),ParseTime(RunTime3!G40),ParseTime(RunTime4!G40))
/
AVERAGE(ParseTime(RunTime1!I40),ParseTime(RunTime2!I40),ParseTime(RunTime3!I40),ParseTime(RunTime4!I40))</f>
        <v>0.72880973850315589</v>
      </c>
      <c r="S40" s="4">
        <f>AVERAGE(ParseTime(RunTime1!H40),ParseTime(RunTime2!H40),ParseTime(RunTime3!H40),ParseTime(RunTime4!H40))
/
AVERAGE(ParseTime(RunTime1!I40),ParseTime(RunTime2!I40),ParseTime(RunTime3!I40),ParseTime(RunTime4!I40))</f>
        <v>0.47565374211000899</v>
      </c>
      <c r="T40" s="4">
        <f>AVERAGE(ParseTime(RunTime1!G40),ParseTime(RunTime2!G40),ParseTime(RunTime3!G40),ParseTime(RunTime4!G40))
/
AVERAGE(ParseTime(RunTime1!J40),ParseTime(RunTime2!J40),ParseTime(RunTime3!J40),ParseTime(RunTime4!J40))</f>
        <v>0.64518060267411681</v>
      </c>
      <c r="U40" t="s">
        <v>18</v>
      </c>
    </row>
    <row r="41" spans="1:21" x14ac:dyDescent="0.25">
      <c r="A41" t="s">
        <v>294</v>
      </c>
      <c r="B41" t="s">
        <v>248</v>
      </c>
      <c r="C41" t="s">
        <v>19</v>
      </c>
      <c r="D41" s="1">
        <v>89795</v>
      </c>
      <c r="E41">
        <v>2</v>
      </c>
      <c r="F41" t="s">
        <v>506</v>
      </c>
      <c r="G41" t="s">
        <v>507</v>
      </c>
      <c r="H41" t="s">
        <v>508</v>
      </c>
      <c r="I41" t="s">
        <v>1094</v>
      </c>
      <c r="J41" t="s">
        <v>1137</v>
      </c>
      <c r="K41" t="s">
        <v>498</v>
      </c>
      <c r="L41" t="s">
        <v>219</v>
      </c>
      <c r="M41" t="s">
        <v>509</v>
      </c>
      <c r="N41" t="s">
        <v>30</v>
      </c>
      <c r="O41" s="4">
        <f>AVERAGE(ParseTime(RunTime1!F41),ParseTime(RunTime2!F41),ParseTime(RunTime3!F41),ParseTime(RunTime4!F41))
/
AVERAGE(ParseTime(RunTime1!J41),ParseTime(RunTime2!J41),ParseTime(RunTime3!J41),ParseTime(RunTime4!J41))</f>
        <v>1.5282239017477561</v>
      </c>
      <c r="P41" s="4">
        <f>AVERAGE(ParseTime(RunTime1!F41),ParseTime(RunTime2!F41),ParseTime(RunTime3!F41),ParseTime(RunTime4!F41))
/
AVERAGE(ParseTime(RunTime1!I41),ParseTime(RunTime2!I41),ParseTime(RunTime3!I41),ParseTime(RunTime4!I41))</f>
        <v>1.5802906337770177</v>
      </c>
      <c r="Q41" s="4">
        <f>AVERAGE(ParseTime(RunTime1!H41),ParseTime(RunTime2!H41),ParseTime(RunTime3!H41),ParseTime(RunTime4!H41))
/
AVERAGE(ParseTime(RunTime1!J41),ParseTime(RunTime2!J41),ParseTime(RunTime3!J41),ParseTime(RunTime4!J41))</f>
        <v>0.63793103448275867</v>
      </c>
      <c r="R41" s="4">
        <f>AVERAGE(ParseTime(RunTime1!G41),ParseTime(RunTime2!G41),ParseTime(RunTime3!G41),ParseTime(RunTime4!G41))
/
AVERAGE(ParseTime(RunTime1!I41),ParseTime(RunTime2!I41),ParseTime(RunTime3!I41),ParseTime(RunTime4!I41))</f>
        <v>0.64586640615459767</v>
      </c>
      <c r="S41" s="4">
        <f>AVERAGE(ParseTime(RunTime1!H41),ParseTime(RunTime2!H41),ParseTime(RunTime3!H41),ParseTime(RunTime4!H41))
/
AVERAGE(ParseTime(RunTime1!I41),ParseTime(RunTime2!I41),ParseTime(RunTime3!I41),ParseTime(RunTime4!I41))</f>
        <v>0.65966540481133229</v>
      </c>
      <c r="T41" s="4">
        <f>AVERAGE(ParseTime(RunTime1!G41),ParseTime(RunTime2!G41),ParseTime(RunTime3!G41),ParseTime(RunTime4!G41))
/
AVERAGE(ParseTime(RunTime1!J41),ParseTime(RunTime2!J41),ParseTime(RunTime3!J41),ParseTime(RunTime4!J41))</f>
        <v>0.62458667926310829</v>
      </c>
      <c r="U41" t="s">
        <v>18</v>
      </c>
    </row>
    <row r="42" spans="1:21" x14ac:dyDescent="0.25">
      <c r="A42" t="s">
        <v>294</v>
      </c>
      <c r="B42" t="s">
        <v>259</v>
      </c>
      <c r="C42" t="s">
        <v>11</v>
      </c>
      <c r="D42" s="1">
        <v>57485</v>
      </c>
      <c r="E42">
        <v>2</v>
      </c>
      <c r="F42" t="s">
        <v>510</v>
      </c>
      <c r="G42" t="s">
        <v>511</v>
      </c>
      <c r="H42" t="s">
        <v>512</v>
      </c>
      <c r="I42" t="s">
        <v>1095</v>
      </c>
      <c r="J42" t="s">
        <v>1138</v>
      </c>
      <c r="K42" t="s">
        <v>513</v>
      </c>
      <c r="L42" t="s">
        <v>514</v>
      </c>
      <c r="M42" t="s">
        <v>515</v>
      </c>
      <c r="N42" t="s">
        <v>223</v>
      </c>
      <c r="O42" s="4">
        <f>AVERAGE(ParseTime(RunTime1!F42),ParseTime(RunTime2!F42),ParseTime(RunTime3!F42),ParseTime(RunTime4!F42))
/
AVERAGE(ParseTime(RunTime1!J42),ParseTime(RunTime2!J42),ParseTime(RunTime3!J42),ParseTime(RunTime4!J42))</f>
        <v>18.190366415918465</v>
      </c>
      <c r="P42" s="4">
        <f>AVERAGE(ParseTime(RunTime1!F42),ParseTime(RunTime2!F42),ParseTime(RunTime3!F42),ParseTime(RunTime4!F42))
/
AVERAGE(ParseTime(RunTime1!I42),ParseTime(RunTime2!I42),ParseTime(RunTime3!I42),ParseTime(RunTime4!I42))</f>
        <v>19.480899168399169</v>
      </c>
      <c r="Q42" s="4">
        <f>AVERAGE(ParseTime(RunTime1!H42),ParseTime(RunTime2!H42),ParseTime(RunTime3!H42),ParseTime(RunTime4!H42))
/
AVERAGE(ParseTime(RunTime1!J42),ParseTime(RunTime2!J42),ParseTime(RunTime3!J42),ParseTime(RunTime4!J42))</f>
        <v>0.33195826255763156</v>
      </c>
      <c r="R42" s="4">
        <f>AVERAGE(ParseTime(RunTime1!G42),ParseTime(RunTime2!G42),ParseTime(RunTime3!G42),ParseTime(RunTime4!G42))
/
AVERAGE(ParseTime(RunTime1!I42),ParseTime(RunTime2!I42),ParseTime(RunTime3!I42),ParseTime(RunTime4!I42))</f>
        <v>0.45854989604989604</v>
      </c>
      <c r="S42" s="4">
        <f>AVERAGE(ParseTime(RunTime1!H42),ParseTime(RunTime2!H42),ParseTime(RunTime3!H42),ParseTime(RunTime4!H42))
/
AVERAGE(ParseTime(RunTime1!I42),ParseTime(RunTime2!I42),ParseTime(RunTime3!I42),ParseTime(RunTime4!I42))</f>
        <v>0.35550935550935547</v>
      </c>
      <c r="T42" s="4">
        <f>AVERAGE(ParseTime(RunTime1!G42),ParseTime(RunTime2!G42),ParseTime(RunTime3!G42),ParseTime(RunTime4!G42))
/
AVERAGE(ParseTime(RunTime1!J42),ParseTime(RunTime2!J42),ParseTime(RunTime3!J42),ParseTime(RunTime4!J42))</f>
        <v>0.42817277359864103</v>
      </c>
      <c r="U42" t="s">
        <v>18</v>
      </c>
    </row>
    <row r="43" spans="1:21" x14ac:dyDescent="0.25">
      <c r="A43" t="s">
        <v>294</v>
      </c>
      <c r="B43" t="s">
        <v>259</v>
      </c>
      <c r="C43" t="s">
        <v>19</v>
      </c>
      <c r="D43" s="1">
        <v>58447</v>
      </c>
      <c r="E43">
        <v>2</v>
      </c>
      <c r="F43" t="s">
        <v>516</v>
      </c>
      <c r="G43" t="s">
        <v>517</v>
      </c>
      <c r="H43" t="s">
        <v>518</v>
      </c>
      <c r="I43" t="s">
        <v>1096</v>
      </c>
      <c r="J43" t="s">
        <v>1139</v>
      </c>
      <c r="K43" t="s">
        <v>336</v>
      </c>
      <c r="L43" t="s">
        <v>519</v>
      </c>
      <c r="M43" t="s">
        <v>520</v>
      </c>
      <c r="N43" t="s">
        <v>1146</v>
      </c>
      <c r="O43" s="4">
        <f>AVERAGE(ParseTime(RunTime1!F43),ParseTime(RunTime2!F43),ParseTime(RunTime3!F43),ParseTime(RunTime4!F43))
/
AVERAGE(ParseTime(RunTime1!J43),ParseTime(RunTime2!J43),ParseTime(RunTime3!J43),ParseTime(RunTime4!J43))</f>
        <v>22.415350223546941</v>
      </c>
      <c r="P43" s="4">
        <f>AVERAGE(ParseTime(RunTime1!F43),ParseTime(RunTime2!F43),ParseTime(RunTime3!F43),ParseTime(RunTime4!F43))
/
AVERAGE(ParseTime(RunTime1!I43),ParseTime(RunTime2!I43),ParseTime(RunTime3!I43),ParseTime(RunTime4!I43))</f>
        <v>20.281418554476804</v>
      </c>
      <c r="Q43" s="4">
        <f>AVERAGE(ParseTime(RunTime1!H43),ParseTime(RunTime2!H43),ParseTime(RunTime3!H43),ParseTime(RunTime4!H43))
/
AVERAGE(ParseTime(RunTime1!J43),ParseTime(RunTime2!J43),ParseTime(RunTime3!J43),ParseTime(RunTime4!J43))</f>
        <v>0.48420268256333837</v>
      </c>
      <c r="R43" s="4">
        <f>AVERAGE(ParseTime(RunTime1!G43),ParseTime(RunTime2!G43),ParseTime(RunTime3!G43),ParseTime(RunTime4!G43))
/
AVERAGE(ParseTime(RunTime1!I43),ParseTime(RunTime2!I43),ParseTime(RunTime3!I43),ParseTime(RunTime4!I43))</f>
        <v>0.4924487594390507</v>
      </c>
      <c r="S43" s="4">
        <f>AVERAGE(ParseTime(RunTime1!H43),ParseTime(RunTime2!H43),ParseTime(RunTime3!H43),ParseTime(RunTime4!H43))
/
AVERAGE(ParseTime(RunTime1!I43),ParseTime(RunTime2!I43),ParseTime(RunTime3!I43),ParseTime(RunTime4!I43))</f>
        <v>0.43810679611650488</v>
      </c>
      <c r="T43" s="4">
        <f>AVERAGE(ParseTime(RunTime1!G43),ParseTime(RunTime2!G43),ParseTime(RunTime3!G43),ParseTime(RunTime4!G43))
/
AVERAGE(ParseTime(RunTime1!J43),ParseTime(RunTime2!J43),ParseTime(RunTime3!J43),ParseTime(RunTime4!J43))</f>
        <v>0.54426229508196722</v>
      </c>
      <c r="U43" t="s">
        <v>18</v>
      </c>
    </row>
    <row r="44" spans="1:21" x14ac:dyDescent="0.25">
      <c r="A44" t="s">
        <v>294</v>
      </c>
      <c r="B44" t="s">
        <v>271</v>
      </c>
      <c r="C44" t="s">
        <v>11</v>
      </c>
      <c r="D44" s="1">
        <v>55326</v>
      </c>
      <c r="E44">
        <v>2</v>
      </c>
      <c r="F44" t="s">
        <v>521</v>
      </c>
      <c r="G44" t="s">
        <v>522</v>
      </c>
      <c r="H44" t="s">
        <v>523</v>
      </c>
      <c r="I44" t="s">
        <v>1097</v>
      </c>
      <c r="J44" t="s">
        <v>1140</v>
      </c>
      <c r="K44" t="s">
        <v>36</v>
      </c>
      <c r="L44" t="s">
        <v>524</v>
      </c>
      <c r="M44" t="s">
        <v>525</v>
      </c>
      <c r="N44" t="s">
        <v>498</v>
      </c>
      <c r="O44" s="4">
        <f>AVERAGE(ParseTime(RunTime1!F44),ParseTime(RunTime2!F44),ParseTime(RunTime3!F44),ParseTime(RunTime4!F44))
/
AVERAGE(ParseTime(RunTime1!J44),ParseTime(RunTime2!J44),ParseTime(RunTime3!J44),ParseTime(RunTime4!J44))</f>
        <v>121.18074628936053</v>
      </c>
      <c r="P44" s="4">
        <f>AVERAGE(ParseTime(RunTime1!F44),ParseTime(RunTime2!F44),ParseTime(RunTime3!F44),ParseTime(RunTime4!F44))
/
AVERAGE(ParseTime(RunTime1!I44),ParseTime(RunTime2!I44),ParseTime(RunTime3!I44),ParseTime(RunTime4!I44))</f>
        <v>119.3105708822726</v>
      </c>
      <c r="Q44" s="4">
        <f>AVERAGE(ParseTime(RunTime1!H44),ParseTime(RunTime2!H44),ParseTime(RunTime3!H44),ParseTime(RunTime4!H44))
/
AVERAGE(ParseTime(RunTime1!J44),ParseTime(RunTime2!J44),ParseTime(RunTime3!J44),ParseTime(RunTime4!J44))</f>
        <v>0.53530309335552784</v>
      </c>
      <c r="R44" s="4">
        <f>AVERAGE(ParseTime(RunTime1!G44),ParseTime(RunTime2!G44),ParseTime(RunTime3!G44),ParseTime(RunTime4!G44))
/
AVERAGE(ParseTime(RunTime1!I44),ParseTime(RunTime2!I44),ParseTime(RunTime3!I44),ParseTime(RunTime4!I44))</f>
        <v>0.55217153783119366</v>
      </c>
      <c r="S44" s="4">
        <f>AVERAGE(ParseTime(RunTime1!H44),ParseTime(RunTime2!H44),ParseTime(RunTime3!H44),ParseTime(RunTime4!H44))
/
AVERAGE(ParseTime(RunTime1!I44),ParseTime(RunTime2!I44),ParseTime(RunTime3!I44),ParseTime(RunTime4!I44))</f>
        <v>0.52704179186014755</v>
      </c>
      <c r="T44" s="4">
        <f>AVERAGE(ParseTime(RunTime1!G44),ParseTime(RunTime2!G44),ParseTime(RunTime3!G44),ParseTime(RunTime4!G44))
/
AVERAGE(ParseTime(RunTime1!J44),ParseTime(RunTime2!J44),ParseTime(RunTime3!J44),ParseTime(RunTime4!J44))</f>
        <v>0.5608267443473437</v>
      </c>
      <c r="U44" t="s">
        <v>18</v>
      </c>
    </row>
    <row r="45" spans="1:21" x14ac:dyDescent="0.25">
      <c r="A45" t="s">
        <v>294</v>
      </c>
      <c r="B45" t="s">
        <v>271</v>
      </c>
      <c r="C45" t="s">
        <v>19</v>
      </c>
      <c r="D45" s="1">
        <v>55000</v>
      </c>
      <c r="E45">
        <v>2</v>
      </c>
      <c r="F45" t="s">
        <v>526</v>
      </c>
      <c r="G45" t="s">
        <v>527</v>
      </c>
      <c r="H45" t="s">
        <v>528</v>
      </c>
      <c r="I45" t="s">
        <v>1098</v>
      </c>
      <c r="J45" t="s">
        <v>1141</v>
      </c>
      <c r="K45" t="s">
        <v>223</v>
      </c>
      <c r="L45" t="s">
        <v>529</v>
      </c>
      <c r="M45" t="s">
        <v>530</v>
      </c>
      <c r="N45" t="s">
        <v>230</v>
      </c>
      <c r="O45" s="4">
        <f>AVERAGE(ParseTime(RunTime1!F45),ParseTime(RunTime2!F45),ParseTime(RunTime3!F45),ParseTime(RunTime4!F45))
/
AVERAGE(ParseTime(RunTime1!J45),ParseTime(RunTime2!J45),ParseTime(RunTime3!J45),ParseTime(RunTime4!J45))</f>
        <v>109.2887098836466</v>
      </c>
      <c r="P45" s="4">
        <f>AVERAGE(ParseTime(RunTime1!F45),ParseTime(RunTime2!F45),ParseTime(RunTime3!F45),ParseTime(RunTime4!F45))
/
AVERAGE(ParseTime(RunTime1!I45),ParseTime(RunTime2!I45),ParseTime(RunTime3!I45),ParseTime(RunTime4!I45))</f>
        <v>97.440378476972185</v>
      </c>
      <c r="Q45" s="4">
        <f>AVERAGE(ParseTime(RunTime1!H45),ParseTime(RunTime2!H45),ParseTime(RunTime3!H45),ParseTime(RunTime4!H45))
/
AVERAGE(ParseTime(RunTime1!J45),ParseTime(RunTime2!J45),ParseTime(RunTime3!J45),ParseTime(RunTime4!J45))</f>
        <v>0.4310190512722159</v>
      </c>
      <c r="R45" s="4">
        <f>AVERAGE(ParseTime(RunTime1!G45),ParseTime(RunTime2!G45),ParseTime(RunTime3!G45),ParseTime(RunTime4!G45))
/
AVERAGE(ParseTime(RunTime1!I45),ParseTime(RunTime2!I45),ParseTime(RunTime3!I45),ParseTime(RunTime4!I45))</f>
        <v>0.39215686274509803</v>
      </c>
      <c r="S45" s="4">
        <f>AVERAGE(ParseTime(RunTime1!H45),ParseTime(RunTime2!H45),ParseTime(RunTime3!H45),ParseTime(RunTime4!H45))
/
AVERAGE(ParseTime(RunTime1!I45),ParseTime(RunTime2!I45),ParseTime(RunTime3!I45),ParseTime(RunTime4!I45))</f>
        <v>0.38429092567259465</v>
      </c>
      <c r="T45" s="4">
        <f>AVERAGE(ParseTime(RunTime1!G45),ParseTime(RunTime2!G45),ParseTime(RunTime3!G45),ParseTime(RunTime4!G45))
/
AVERAGE(ParseTime(RunTime1!J45),ParseTime(RunTime2!J45),ParseTime(RunTime3!J45),ParseTime(RunTime4!J45))</f>
        <v>0.43984145249968037</v>
      </c>
      <c r="U45" t="s">
        <v>18</v>
      </c>
    </row>
    <row r="46" spans="1:21" x14ac:dyDescent="0.25">
      <c r="A46" t="s">
        <v>294</v>
      </c>
      <c r="B46" t="s">
        <v>283</v>
      </c>
      <c r="C46" t="s">
        <v>11</v>
      </c>
      <c r="D46" s="1">
        <v>90969</v>
      </c>
      <c r="E46">
        <v>1</v>
      </c>
      <c r="F46" t="s">
        <v>531</v>
      </c>
      <c r="G46" t="s">
        <v>532</v>
      </c>
      <c r="H46" t="s">
        <v>533</v>
      </c>
      <c r="I46" t="s">
        <v>1099</v>
      </c>
      <c r="J46" t="s">
        <v>1142</v>
      </c>
      <c r="K46" t="s">
        <v>184</v>
      </c>
      <c r="L46" t="s">
        <v>482</v>
      </c>
      <c r="M46" t="s">
        <v>32</v>
      </c>
      <c r="N46" t="s">
        <v>1145</v>
      </c>
      <c r="O46" s="4">
        <f>AVERAGE(ParseTime(RunTime1!F46),ParseTime(RunTime2!F46),ParseTime(RunTime3!F46),ParseTime(RunTime4!F46))
/
AVERAGE(ParseTime(RunTime1!J46),ParseTime(RunTime2!J46),ParseTime(RunTime3!J46),ParseTime(RunTime4!J46))</f>
        <v>2.4405449237755432</v>
      </c>
      <c r="P46" s="4">
        <f>AVERAGE(ParseTime(RunTime1!F46),ParseTime(RunTime2!F46),ParseTime(RunTime3!F46),ParseTime(RunTime4!F46))
/
AVERAGE(ParseTime(RunTime1!I46),ParseTime(RunTime2!I46),ParseTime(RunTime3!I46),ParseTime(RunTime4!I46))</f>
        <v>2.9258827189298491</v>
      </c>
      <c r="Q46" s="4">
        <f>AVERAGE(ParseTime(RunTime1!H46),ParseTime(RunTime2!H46),ParseTime(RunTime3!H46),ParseTime(RunTime4!H46))
/
AVERAGE(ParseTime(RunTime1!J46),ParseTime(RunTime2!J46),ParseTime(RunTime3!J46),ParseTime(RunTime4!J46))</f>
        <v>0.67434317223483609</v>
      </c>
      <c r="R46" s="4">
        <f>AVERAGE(ParseTime(RunTime1!G46),ParseTime(RunTime2!G46),ParseTime(RunTime3!G46),ParseTime(RunTime4!G46))
/
AVERAGE(ParseTime(RunTime1!I46),ParseTime(RunTime2!I46),ParseTime(RunTime3!I46),ParseTime(RunTime4!I46))</f>
        <v>0.82827811479234714</v>
      </c>
      <c r="S46" s="4">
        <f>AVERAGE(ParseTime(RunTime1!H46),ParseTime(RunTime2!H46),ParseTime(RunTime3!H46),ParseTime(RunTime4!H46))
/
AVERAGE(ParseTime(RunTime1!I46),ParseTime(RunTime2!I46),ParseTime(RunTime3!I46),ParseTime(RunTime4!I46))</f>
        <v>0.80844610359309377</v>
      </c>
      <c r="T46" s="4">
        <f>AVERAGE(ParseTime(RunTime1!G46),ParseTime(RunTime2!G46),ParseTime(RunTime3!G46),ParseTime(RunTime4!G46))
/
AVERAGE(ParseTime(RunTime1!J46),ParseTime(RunTime2!J46),ParseTime(RunTime3!J46),ParseTime(RunTime4!J46))</f>
        <v>0.69088550113525782</v>
      </c>
      <c r="U46" t="s">
        <v>18</v>
      </c>
    </row>
    <row r="47" spans="1:21" x14ac:dyDescent="0.25">
      <c r="A47" t="s">
        <v>294</v>
      </c>
      <c r="B47" t="s">
        <v>283</v>
      </c>
      <c r="C47" t="s">
        <v>19</v>
      </c>
      <c r="D47" s="1">
        <v>127106</v>
      </c>
      <c r="E47">
        <v>2</v>
      </c>
      <c r="F47" t="s">
        <v>534</v>
      </c>
      <c r="G47" t="s">
        <v>535</v>
      </c>
      <c r="H47" t="s">
        <v>536</v>
      </c>
      <c r="I47" t="s">
        <v>1100</v>
      </c>
      <c r="J47" t="s">
        <v>1143</v>
      </c>
      <c r="K47" t="s">
        <v>537</v>
      </c>
      <c r="L47" t="s">
        <v>538</v>
      </c>
      <c r="M47" t="s">
        <v>539</v>
      </c>
      <c r="N47" t="s">
        <v>113</v>
      </c>
      <c r="O47" s="4">
        <f>AVERAGE(ParseTime(RunTime1!F47),ParseTime(RunTime2!F47),ParseTime(RunTime3!F47),ParseTime(RunTime4!F47))
/
AVERAGE(ParseTime(RunTime1!J47),ParseTime(RunTime2!J47),ParseTime(RunTime3!J47),ParseTime(RunTime4!J47))</f>
        <v>4.5500194881122527</v>
      </c>
      <c r="P47" s="4">
        <f>AVERAGE(ParseTime(RunTime1!F47),ParseTime(RunTime2!F47),ParseTime(RunTime3!F47),ParseTime(RunTime4!F47))
/
AVERAGE(ParseTime(RunTime1!I47),ParseTime(RunTime2!I47),ParseTime(RunTime3!I47),ParseTime(RunTime4!I47))</f>
        <v>4.2722171393717598</v>
      </c>
      <c r="Q47" s="4">
        <f>AVERAGE(ParseTime(RunTime1!H47),ParseTime(RunTime2!H47),ParseTime(RunTime3!H47),ParseTime(RunTime4!H47))
/
AVERAGE(ParseTime(RunTime1!J47),ParseTime(RunTime2!J47),ParseTime(RunTime3!J47),ParseTime(RunTime4!J47))</f>
        <v>1.2289203585812656</v>
      </c>
      <c r="R47" s="4">
        <f>AVERAGE(ParseTime(RunTime1!G47),ParseTime(RunTime2!G47),ParseTime(RunTime3!G47),ParseTime(RunTime4!G47))
/
AVERAGE(ParseTime(RunTime1!I47),ParseTime(RunTime2!I47),ParseTime(RunTime3!I47),ParseTime(RunTime4!I47))</f>
        <v>0.56078072583104599</v>
      </c>
      <c r="S47" s="4">
        <f>AVERAGE(ParseTime(RunTime1!H47),ParseTime(RunTime2!H47),ParseTime(RunTime3!H47),ParseTime(RunTime4!H47))
/
AVERAGE(ParseTime(RunTime1!I47),ParseTime(RunTime2!I47),ParseTime(RunTime3!I47),ParseTime(RunTime4!I47))</f>
        <v>1.1538883806038427</v>
      </c>
      <c r="T47" s="4">
        <f>AVERAGE(ParseTime(RunTime1!G47),ParseTime(RunTime2!G47),ParseTime(RunTime3!G47),ParseTime(RunTime4!G47))
/
AVERAGE(ParseTime(RunTime1!J47),ParseTime(RunTime2!J47),ParseTime(RunTime3!J47),ParseTime(RunTime4!J47))</f>
        <v>0.59724568013511758</v>
      </c>
      <c r="U4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2352-CA9F-4317-99E6-813BC042B9BE}">
  <sheetPr codeName="Sheet3"/>
  <dimension ref="A1:U47"/>
  <sheetViews>
    <sheetView topLeftCell="D1" workbookViewId="0">
      <selection activeCell="P5" sqref="P5"/>
    </sheetView>
  </sheetViews>
  <sheetFormatPr defaultRowHeight="15" x14ac:dyDescent="0.25"/>
  <cols>
    <col min="4" max="4" width="20.140625" customWidth="1"/>
  </cols>
  <sheetData>
    <row r="1" spans="1:21" x14ac:dyDescent="0.25">
      <c r="A1" t="s">
        <v>293</v>
      </c>
      <c r="B1" t="s">
        <v>0</v>
      </c>
      <c r="C1" t="s">
        <v>1</v>
      </c>
      <c r="D1" t="s">
        <v>295</v>
      </c>
      <c r="E1" t="s">
        <v>2</v>
      </c>
      <c r="F1" t="s">
        <v>3</v>
      </c>
      <c r="G1" t="s">
        <v>4</v>
      </c>
      <c r="H1" t="s">
        <v>5</v>
      </c>
      <c r="I1" t="s">
        <v>964</v>
      </c>
      <c r="J1" t="s">
        <v>1009</v>
      </c>
      <c r="K1" t="s">
        <v>6</v>
      </c>
      <c r="L1" t="s">
        <v>7</v>
      </c>
      <c r="M1" t="s">
        <v>8</v>
      </c>
      <c r="N1" t="s">
        <v>1054</v>
      </c>
      <c r="O1" t="s">
        <v>1322</v>
      </c>
      <c r="P1" t="s">
        <v>1317</v>
      </c>
      <c r="Q1" t="s">
        <v>1318</v>
      </c>
      <c r="R1" t="s">
        <v>1320</v>
      </c>
      <c r="S1" t="s">
        <v>1319</v>
      </c>
      <c r="T1" t="s">
        <v>1321</v>
      </c>
      <c r="U1" t="s">
        <v>9</v>
      </c>
    </row>
    <row r="2" spans="1:21" x14ac:dyDescent="0.25">
      <c r="A2" t="s">
        <v>294</v>
      </c>
      <c r="B2" t="s">
        <v>10</v>
      </c>
      <c r="C2" t="s">
        <v>11</v>
      </c>
      <c r="D2" s="1">
        <v>319247</v>
      </c>
      <c r="E2">
        <v>2</v>
      </c>
      <c r="F2" t="s">
        <v>540</v>
      </c>
      <c r="G2" t="s">
        <v>541</v>
      </c>
      <c r="H2" t="s">
        <v>542</v>
      </c>
      <c r="I2" t="s">
        <v>1147</v>
      </c>
      <c r="J2" t="s">
        <v>1189</v>
      </c>
      <c r="K2" t="s">
        <v>106</v>
      </c>
      <c r="L2" t="s">
        <v>543</v>
      </c>
      <c r="M2" t="s">
        <v>544</v>
      </c>
      <c r="N2" t="s">
        <v>572</v>
      </c>
      <c r="O2" s="4">
        <f>AVERAGE(ParseTime(RunTime1!F2),ParseTime(RunTime2!F2),ParseTime(RunTime3!F2),ParseTime(RunTime4!F2))
/
AVERAGE(ParseTime(RunTime1!J2),ParseTime(RunTime2!J2),ParseTime(RunTime3!J2),ParseTime(RunTime4!J2))</f>
        <v>140.80047407630371</v>
      </c>
      <c r="P2" s="4">
        <f>AVERAGE(ParseTime(RunTime1!F2),ParseTime(RunTime2!F2),ParseTime(RunTime3!F2),ParseTime(RunTime4!F2))
/
AVERAGE(ParseTime(RunTime1!I2),ParseTime(RunTime2!I2),ParseTime(RunTime3!I2),ParseTime(RunTime4!I2))</f>
        <v>150.16231290879176</v>
      </c>
      <c r="Q2" s="4">
        <f>AVERAGE(ParseTime(RunTime1!H2),ParseTime(RunTime2!H2),ParseTime(RunTime3!H2),ParseTime(RunTime4!H2))
/
AVERAGE(ParseTime(RunTime1!J2),ParseTime(RunTime2!J2),ParseTime(RunTime3!J2),ParseTime(RunTime4!J2))</f>
        <v>1.0387538565731056</v>
      </c>
      <c r="R2" s="4">
        <f>AVERAGE(ParseTime(RunTime1!G2),ParseTime(RunTime2!G2),ParseTime(RunTime3!G2),ParseTime(RunTime4!G2))
/
AVERAGE(ParseTime(RunTime1!I2),ParseTime(RunTime2!I2),ParseTime(RunTime3!I2),ParseTime(RunTime4!I2))</f>
        <v>1.0428152963364232</v>
      </c>
      <c r="S2" s="4">
        <f>AVERAGE(ParseTime(RunTime1!H2),ParseTime(RunTime2!H2),ParseTime(RunTime3!H2),ParseTime(RunTime4!H2))
/
AVERAGE(ParseTime(RunTime1!I2),ParseTime(RunTime2!I2),ParseTime(RunTime3!I2),ParseTime(RunTime4!I2))</f>
        <v>1.1078207134545162</v>
      </c>
      <c r="T2" s="4">
        <f>AVERAGE(ParseTime(RunTime1!G2),ParseTime(RunTime2!G2),ParseTime(RunTime3!G2),ParseTime(RunTime4!G2))
/
AVERAGE(ParseTime(RunTime1!J2),ParseTime(RunTime2!J2),ParseTime(RunTime3!J2),ParseTime(RunTime4!J2))</f>
        <v>0.97780118895326973</v>
      </c>
      <c r="U2" t="s">
        <v>18</v>
      </c>
    </row>
    <row r="3" spans="1:21" x14ac:dyDescent="0.25">
      <c r="A3" t="s">
        <v>294</v>
      </c>
      <c r="B3" t="s">
        <v>10</v>
      </c>
      <c r="C3" t="s">
        <v>19</v>
      </c>
      <c r="D3" s="1">
        <v>316061</v>
      </c>
      <c r="E3">
        <v>2</v>
      </c>
      <c r="F3" t="s">
        <v>545</v>
      </c>
      <c r="G3" t="s">
        <v>546</v>
      </c>
      <c r="H3" t="s">
        <v>547</v>
      </c>
      <c r="I3" t="s">
        <v>1148</v>
      </c>
      <c r="J3" t="s">
        <v>1190</v>
      </c>
      <c r="K3" t="s">
        <v>548</v>
      </c>
      <c r="L3" t="s">
        <v>549</v>
      </c>
      <c r="M3" t="s">
        <v>550</v>
      </c>
      <c r="N3" t="s">
        <v>143</v>
      </c>
      <c r="O3" s="4">
        <f>AVERAGE(ParseTime(RunTime1!F3),ParseTime(RunTime2!F3),ParseTime(RunTime3!F3),ParseTime(RunTime4!F3))
/
AVERAGE(ParseTime(RunTime1!J3),ParseTime(RunTime2!J3),ParseTime(RunTime3!J3),ParseTime(RunTime4!J3))</f>
        <v>121.73840735668163</v>
      </c>
      <c r="P3" s="4">
        <f>AVERAGE(ParseTime(RunTime1!F3),ParseTime(RunTime2!F3),ParseTime(RunTime3!F3),ParseTime(RunTime4!F3))
/
AVERAGE(ParseTime(RunTime1!I3),ParseTime(RunTime2!I3),ParseTime(RunTime3!I3),ParseTime(RunTime4!I3))</f>
        <v>131.53883556720643</v>
      </c>
      <c r="Q3" s="4">
        <f>AVERAGE(ParseTime(RunTime1!H3),ParseTime(RunTime2!H3),ParseTime(RunTime3!H3),ParseTime(RunTime4!H3))
/
AVERAGE(ParseTime(RunTime1!J3),ParseTime(RunTime2!J3),ParseTime(RunTime3!J3),ParseTime(RunTime4!J3))</f>
        <v>0.9483858344746624</v>
      </c>
      <c r="R3" s="4">
        <f>AVERAGE(ParseTime(RunTime1!G3),ParseTime(RunTime2!G3),ParseTime(RunTime3!G3),ParseTime(RunTime4!G3))
/
AVERAGE(ParseTime(RunTime1!I3),ParseTime(RunTime2!I3),ParseTime(RunTime3!I3),ParseTime(RunTime4!I3))</f>
        <v>1.1331021944103845</v>
      </c>
      <c r="S3" s="4">
        <f>AVERAGE(ParseTime(RunTime1!H3),ParseTime(RunTime2!H3),ParseTime(RunTime3!H3),ParseTime(RunTime4!H3))
/
AVERAGE(ParseTime(RunTime1!I3),ParseTime(RunTime2!I3),ParseTime(RunTime3!I3),ParseTime(RunTime4!I3))</f>
        <v>1.0247346835228954</v>
      </c>
      <c r="T3" s="4">
        <f>AVERAGE(ParseTime(RunTime1!G3),ParseTime(RunTime2!G3),ParseTime(RunTime3!G3),ParseTime(RunTime4!G3))
/
AVERAGE(ParseTime(RunTime1!J3),ParseTime(RunTime2!J3),ParseTime(RunTime3!J3),ParseTime(RunTime4!J3))</f>
        <v>1.0486793191156329</v>
      </c>
      <c r="U3" t="s">
        <v>18</v>
      </c>
    </row>
    <row r="4" spans="1:21" x14ac:dyDescent="0.25">
      <c r="A4" t="s">
        <v>294</v>
      </c>
      <c r="B4" t="s">
        <v>26</v>
      </c>
      <c r="C4" t="s">
        <v>11</v>
      </c>
      <c r="D4" s="1">
        <v>328730</v>
      </c>
      <c r="E4">
        <v>2</v>
      </c>
      <c r="F4" t="s">
        <v>551</v>
      </c>
      <c r="G4" t="s">
        <v>552</v>
      </c>
      <c r="H4" t="s">
        <v>553</v>
      </c>
      <c r="I4" t="s">
        <v>1149</v>
      </c>
      <c r="J4" t="s">
        <v>1191</v>
      </c>
      <c r="K4" t="s">
        <v>312</v>
      </c>
      <c r="L4" t="s">
        <v>554</v>
      </c>
      <c r="M4" t="s">
        <v>555</v>
      </c>
      <c r="N4" t="s">
        <v>159</v>
      </c>
      <c r="O4" s="4">
        <f>AVERAGE(ParseTime(RunTime1!F4),ParseTime(RunTime2!F4),ParseTime(RunTime3!F4),ParseTime(RunTime4!F4))
/
AVERAGE(ParseTime(RunTime1!J4),ParseTime(RunTime2!J4),ParseTime(RunTime3!J4),ParseTime(RunTime4!J4))</f>
        <v>2.2017178850925747</v>
      </c>
      <c r="P4" s="4">
        <f>AVERAGE(ParseTime(RunTime1!F4),ParseTime(RunTime2!F4),ParseTime(RunTime3!F4),ParseTime(RunTime4!F4))
/
AVERAGE(ParseTime(RunTime1!I4),ParseTime(RunTime2!I4),ParseTime(RunTime3!I4),ParseTime(RunTime4!I4))</f>
        <v>2.4598652222127444</v>
      </c>
      <c r="Q4" s="4">
        <f>AVERAGE(ParseTime(RunTime1!H4),ParseTime(RunTime2!H4),ParseTime(RunTime3!H4),ParseTime(RunTime4!H4))
/
AVERAGE(ParseTime(RunTime1!J4),ParseTime(RunTime2!J4),ParseTime(RunTime3!J4),ParseTime(RunTime4!J4))</f>
        <v>0.75697652223706813</v>
      </c>
      <c r="R4" s="4">
        <f>AVERAGE(ParseTime(RunTime1!G4),ParseTime(RunTime2!G4),ParseTime(RunTime3!G4),ParseTime(RunTime4!G4))
/
AVERAGE(ParseTime(RunTime1!I4),ParseTime(RunTime2!I4),ParseTime(RunTime3!I4),ParseTime(RunTime4!I4))</f>
        <v>1.1201057749722769</v>
      </c>
      <c r="S4" s="4">
        <f>AVERAGE(ParseTime(RunTime1!H4),ParseTime(RunTime2!H4),ParseTime(RunTime3!H4),ParseTime(RunTime4!H4))
/
AVERAGE(ParseTime(RunTime1!I4),ParseTime(RunTime2!I4),ParseTime(RunTime3!I4),ParseTime(RunTime4!I4))</f>
        <v>0.84573061503028246</v>
      </c>
      <c r="T4" s="4">
        <f>AVERAGE(ParseTime(RunTime1!G4),ParseTime(RunTime2!G4),ParseTime(RunTime3!G4),ParseTime(RunTime4!G4))
/
AVERAGE(ParseTime(RunTime1!J4),ParseTime(RunTime2!J4),ParseTime(RunTime3!J4),ParseTime(RunTime4!J4))</f>
        <v>1.0025577400267227</v>
      </c>
      <c r="U4" t="s">
        <v>18</v>
      </c>
    </row>
    <row r="5" spans="1:21" x14ac:dyDescent="0.25">
      <c r="A5" t="s">
        <v>294</v>
      </c>
      <c r="B5" t="s">
        <v>26</v>
      </c>
      <c r="C5" t="s">
        <v>19</v>
      </c>
      <c r="D5" s="1">
        <v>335402</v>
      </c>
      <c r="E5">
        <v>2</v>
      </c>
      <c r="F5" t="s">
        <v>33</v>
      </c>
      <c r="G5" t="s">
        <v>556</v>
      </c>
      <c r="H5" t="s">
        <v>557</v>
      </c>
      <c r="I5" t="s">
        <v>1150</v>
      </c>
      <c r="J5" t="s">
        <v>1192</v>
      </c>
      <c r="K5" t="s">
        <v>558</v>
      </c>
      <c r="L5" t="s">
        <v>33</v>
      </c>
      <c r="M5" t="s">
        <v>33</v>
      </c>
      <c r="N5" t="s">
        <v>223</v>
      </c>
      <c r="O5" s="4" t="s">
        <v>33</v>
      </c>
      <c r="P5" s="4" t="s">
        <v>33</v>
      </c>
      <c r="Q5" s="4">
        <f>AVERAGE(ParseTime(RunTime1!H5),ParseTime(RunTime2!H5),ParseTime(RunTime3!H5),ParseTime(RunTime4!H5))
/
AVERAGE(ParseTime(RunTime1!J5),ParseTime(RunTime2!J5),ParseTime(RunTime3!J5),ParseTime(RunTime4!J5))</f>
        <v>1.1001145172656799</v>
      </c>
      <c r="R5" s="4">
        <f>AVERAGE(ParseTime(RunTime1!G5),ParseTime(RunTime2!G5),ParseTime(RunTime3!G5),ParseTime(RunTime4!G5))
/
AVERAGE(ParseTime(RunTime1!I5),ParseTime(RunTime2!I5),ParseTime(RunTime3!I5),ParseTime(RunTime4!I5))</f>
        <v>0.79399302093718849</v>
      </c>
      <c r="S5" s="4">
        <f>AVERAGE(ParseTime(RunTime1!H5),ParseTime(RunTime2!H5),ParseTime(RunTime3!H5),ParseTime(RunTime4!H5))
/
AVERAGE(ParseTime(RunTime1!I5),ParseTime(RunTime2!I5),ParseTime(RunTime3!I5),ParseTime(RunTime4!I5))</f>
        <v>1.0375955466932534</v>
      </c>
      <c r="T5" s="4">
        <f>AVERAGE(ParseTime(RunTime1!G5),ParseTime(RunTime2!G5),ParseTime(RunTime3!G5),ParseTime(RunTime4!G5))
/
AVERAGE(ParseTime(RunTime1!J5),ParseTime(RunTime2!J5),ParseTime(RunTime3!J5),ParseTime(RunTime4!J5))</f>
        <v>0.84183403805496826</v>
      </c>
      <c r="U5" t="s">
        <v>297</v>
      </c>
    </row>
    <row r="6" spans="1:21" x14ac:dyDescent="0.25">
      <c r="A6" t="s">
        <v>294</v>
      </c>
      <c r="B6" t="s">
        <v>37</v>
      </c>
      <c r="C6" t="s">
        <v>11</v>
      </c>
      <c r="D6" s="1">
        <v>284815</v>
      </c>
      <c r="E6">
        <v>2</v>
      </c>
      <c r="F6" t="s">
        <v>559</v>
      </c>
      <c r="G6" t="s">
        <v>560</v>
      </c>
      <c r="H6" t="s">
        <v>561</v>
      </c>
      <c r="I6" t="s">
        <v>1151</v>
      </c>
      <c r="J6" t="s">
        <v>1193</v>
      </c>
      <c r="K6" t="s">
        <v>562</v>
      </c>
      <c r="L6" t="s">
        <v>419</v>
      </c>
      <c r="M6" t="s">
        <v>563</v>
      </c>
      <c r="N6" t="s">
        <v>548</v>
      </c>
      <c r="O6" s="4">
        <f>AVERAGE(ParseTime(RunTime1!F6),ParseTime(RunTime2!F6),ParseTime(RunTime3!F6),ParseTime(RunTime4!F6))
/
AVERAGE(ParseTime(RunTime1!J6),ParseTime(RunTime2!J6),ParseTime(RunTime3!J6),ParseTime(RunTime4!J6))</f>
        <v>1.4791843670348341</v>
      </c>
      <c r="P6" s="4">
        <f>AVERAGE(ParseTime(RunTime1!F6),ParseTime(RunTime2!F6),ParseTime(RunTime3!F6),ParseTime(RunTime4!F6))
/
AVERAGE(ParseTime(RunTime1!I6),ParseTime(RunTime2!I6),ParseTime(RunTime3!I6),ParseTime(RunTime4!I6))</f>
        <v>1.8409365558912387</v>
      </c>
      <c r="Q6" s="4">
        <f>AVERAGE(ParseTime(RunTime1!H6),ParseTime(RunTime2!H6),ParseTime(RunTime3!H6),ParseTime(RunTime4!H6))
/
AVERAGE(ParseTime(RunTime1!J6),ParseTime(RunTime2!J6),ParseTime(RunTime3!J6),ParseTime(RunTime4!J6))</f>
        <v>0.99510458388963052</v>
      </c>
      <c r="R6" s="4">
        <f>AVERAGE(ParseTime(RunTime1!G6),ParseTime(RunTime2!G6),ParseTime(RunTime3!G6),ParseTime(RunTime4!G6))
/
AVERAGE(ParseTime(RunTime1!I6),ParseTime(RunTime2!I6),ParseTime(RunTime3!I6),ParseTime(RunTime4!I6))</f>
        <v>0.92628398791540789</v>
      </c>
      <c r="S6" s="4">
        <f>AVERAGE(ParseTime(RunTime1!H6),ParseTime(RunTime2!H6),ParseTime(RunTime3!H6),ParseTime(RunTime4!H6))
/
AVERAGE(ParseTime(RunTime1!I6),ParseTime(RunTime2!I6),ParseTime(RunTime3!I6),ParseTime(RunTime4!I6))</f>
        <v>1.2384692849949648</v>
      </c>
      <c r="T6" s="4">
        <f>AVERAGE(ParseTime(RunTime1!G6),ParseTime(RunTime2!G6),ParseTime(RunTime3!G6),ParseTime(RunTime4!G6))
/
AVERAGE(ParseTime(RunTime1!J6),ParseTime(RunTime2!J6),ParseTime(RunTime3!J6),ParseTime(RunTime4!J6))</f>
        <v>0.74426508071367881</v>
      </c>
      <c r="U6" t="s">
        <v>18</v>
      </c>
    </row>
    <row r="7" spans="1:21" x14ac:dyDescent="0.25">
      <c r="A7" t="s">
        <v>294</v>
      </c>
      <c r="B7" t="s">
        <v>37</v>
      </c>
      <c r="C7" t="s">
        <v>19</v>
      </c>
      <c r="D7" s="1">
        <v>280114</v>
      </c>
      <c r="E7">
        <v>2</v>
      </c>
      <c r="F7" t="s">
        <v>564</v>
      </c>
      <c r="G7" t="s">
        <v>565</v>
      </c>
      <c r="H7" t="s">
        <v>566</v>
      </c>
      <c r="I7" t="s">
        <v>1152</v>
      </c>
      <c r="J7" t="s">
        <v>1194</v>
      </c>
      <c r="K7" t="s">
        <v>223</v>
      </c>
      <c r="L7" t="s">
        <v>567</v>
      </c>
      <c r="M7" t="s">
        <v>568</v>
      </c>
      <c r="N7" t="s">
        <v>412</v>
      </c>
      <c r="O7" s="4">
        <f>AVERAGE(ParseTime(RunTime1!F7),ParseTime(RunTime2!F7),ParseTime(RunTime3!F7),ParseTime(RunTime4!F7))
/
AVERAGE(ParseTime(RunTime1!J7),ParseTime(RunTime2!J7),ParseTime(RunTime3!J7),ParseTime(RunTime4!J7))</f>
        <v>0.58038041765733772</v>
      </c>
      <c r="P7" s="4">
        <f>AVERAGE(ParseTime(RunTime1!F7),ParseTime(RunTime2!F7),ParseTime(RunTime3!F7),ParseTime(RunTime4!F7))
/
AVERAGE(ParseTime(RunTime1!I7),ParseTime(RunTime2!I7),ParseTime(RunTime3!I7),ParseTime(RunTime4!I7))</f>
        <v>1.900698907078193</v>
      </c>
      <c r="Q7" s="4">
        <f>AVERAGE(ParseTime(RunTime1!H7),ParseTime(RunTime2!H7),ParseTime(RunTime3!H7),ParseTime(RunTime4!H7))
/
AVERAGE(ParseTime(RunTime1!J7),ParseTime(RunTime2!J7),ParseTime(RunTime3!J7),ParseTime(RunTime4!J7))</f>
        <v>0.2914721132086282</v>
      </c>
      <c r="R7" s="4">
        <f>AVERAGE(ParseTime(RunTime1!G7),ParseTime(RunTime2!G7),ParseTime(RunTime3!G7),ParseTime(RunTime4!G7))
/
AVERAGE(ParseTime(RunTime1!I7),ParseTime(RunTime2!I7),ParseTime(RunTime3!I7),ParseTime(RunTime4!I7))</f>
        <v>0.74797129321262712</v>
      </c>
      <c r="S7" s="4">
        <f>AVERAGE(ParseTime(RunTime1!H7),ParseTime(RunTime2!H7),ParseTime(RunTime3!H7),ParseTime(RunTime4!H7))
/
AVERAGE(ParseTime(RunTime1!I7),ParseTime(RunTime2!I7),ParseTime(RunTime3!I7),ParseTime(RunTime4!I7))</f>
        <v>0.95454758665978701</v>
      </c>
      <c r="T7" s="4">
        <f>AVERAGE(ParseTime(RunTime1!G7),ParseTime(RunTime2!G7),ParseTime(RunTime3!G7),ParseTime(RunTime4!G7))
/
AVERAGE(ParseTime(RunTime1!J7),ParseTime(RunTime2!J7),ParseTime(RunTime3!J7),ParseTime(RunTime4!J7))</f>
        <v>0.22839382394224986</v>
      </c>
      <c r="U7" t="s">
        <v>18</v>
      </c>
    </row>
    <row r="8" spans="1:21" x14ac:dyDescent="0.25">
      <c r="A8" t="s">
        <v>294</v>
      </c>
      <c r="B8" t="s">
        <v>50</v>
      </c>
      <c r="C8" t="s">
        <v>11</v>
      </c>
      <c r="D8" s="1">
        <v>306846</v>
      </c>
      <c r="E8">
        <v>2</v>
      </c>
      <c r="F8" t="s">
        <v>569</v>
      </c>
      <c r="G8" t="s">
        <v>570</v>
      </c>
      <c r="H8" t="s">
        <v>571</v>
      </c>
      <c r="I8" t="s">
        <v>1153</v>
      </c>
      <c r="J8" t="s">
        <v>1195</v>
      </c>
      <c r="K8" t="s">
        <v>572</v>
      </c>
      <c r="L8" t="s">
        <v>573</v>
      </c>
      <c r="M8" t="s">
        <v>444</v>
      </c>
      <c r="N8" t="s">
        <v>789</v>
      </c>
      <c r="O8" s="4">
        <f>AVERAGE(ParseTime(RunTime1!F8),ParseTime(RunTime2!F8),ParseTime(RunTime3!F8),ParseTime(RunTime4!F8))
/
AVERAGE(ParseTime(RunTime1!J8),ParseTime(RunTime2!J8),ParseTime(RunTime3!J8),ParseTime(RunTime4!J8))</f>
        <v>1.7187417625867674</v>
      </c>
      <c r="P8" s="4">
        <f>AVERAGE(ParseTime(RunTime1!F8),ParseTime(RunTime2!F8),ParseTime(RunTime3!F8),ParseTime(RunTime4!F8))
/
AVERAGE(ParseTime(RunTime1!I8),ParseTime(RunTime2!I8),ParseTime(RunTime3!I8),ParseTime(RunTime4!I8))</f>
        <v>2.001944529730836</v>
      </c>
      <c r="Q8" s="4">
        <f>AVERAGE(ParseTime(RunTime1!H8),ParseTime(RunTime2!H8),ParseTime(RunTime3!H8),ParseTime(RunTime4!H8))
/
AVERAGE(ParseTime(RunTime1!J8),ParseTime(RunTime2!J8),ParseTime(RunTime3!J8),ParseTime(RunTime4!J8))</f>
        <v>0.73508479044020736</v>
      </c>
      <c r="R8" s="4">
        <f>AVERAGE(ParseTime(RunTime1!G8),ParseTime(RunTime2!G8),ParseTime(RunTime3!G8),ParseTime(RunTime4!G8))
/
AVERAGE(ParseTime(RunTime1!I8),ParseTime(RunTime2!I8),ParseTime(RunTime3!I8),ParseTime(RunTime4!I8))</f>
        <v>0.92887114931941461</v>
      </c>
      <c r="S8" s="4">
        <f>AVERAGE(ParseTime(RunTime1!H8),ParseTime(RunTime2!H8),ParseTime(RunTime3!H8),ParseTime(RunTime4!H8))
/
AVERAGE(ParseTime(RunTime1!I8),ParseTime(RunTime2!I8),ParseTime(RunTime3!I8),ParseTime(RunTime4!I8))</f>
        <v>0.85620714358816896</v>
      </c>
      <c r="T8" s="4">
        <f>AVERAGE(ParseTime(RunTime1!G8),ParseTime(RunTime2!G8),ParseTime(RunTime3!G8),ParseTime(RunTime4!G8))
/
AVERAGE(ParseTime(RunTime1!J8),ParseTime(RunTime2!J8),ParseTime(RunTime3!J8),ParseTime(RunTime4!J8))</f>
        <v>0.79746946665495122</v>
      </c>
      <c r="U8" t="s">
        <v>18</v>
      </c>
    </row>
    <row r="9" spans="1:21" x14ac:dyDescent="0.25">
      <c r="A9" t="s">
        <v>294</v>
      </c>
      <c r="B9" t="s">
        <v>50</v>
      </c>
      <c r="C9" t="s">
        <v>19</v>
      </c>
      <c r="D9" s="1">
        <v>301639</v>
      </c>
      <c r="E9">
        <v>2</v>
      </c>
      <c r="F9" t="s">
        <v>574</v>
      </c>
      <c r="G9" t="s">
        <v>575</v>
      </c>
      <c r="H9" t="s">
        <v>22</v>
      </c>
      <c r="I9" t="s">
        <v>1154</v>
      </c>
      <c r="J9" t="s">
        <v>1196</v>
      </c>
      <c r="K9" t="s">
        <v>131</v>
      </c>
      <c r="L9" t="s">
        <v>321</v>
      </c>
      <c r="M9" t="s">
        <v>573</v>
      </c>
      <c r="N9" t="s">
        <v>347</v>
      </c>
      <c r="O9" s="4">
        <f>AVERAGE(ParseTime(RunTime1!F9),ParseTime(RunTime2!F9),ParseTime(RunTime3!F9),ParseTime(RunTime4!F9))
/
AVERAGE(ParseTime(RunTime1!J9),ParseTime(RunTime2!J9),ParseTime(RunTime3!J9),ParseTime(RunTime4!J9))</f>
        <v>1.4177521740725794</v>
      </c>
      <c r="P9" s="4">
        <f>AVERAGE(ParseTime(RunTime1!F9),ParseTime(RunTime2!F9),ParseTime(RunTime3!F9),ParseTime(RunTime4!F9))
/
AVERAGE(ParseTime(RunTime1!I9),ParseTime(RunTime2!I9),ParseTime(RunTime3!I9),ParseTime(RunTime4!I9))</f>
        <v>1.9071076011846007</v>
      </c>
      <c r="Q9" s="4">
        <f>AVERAGE(ParseTime(RunTime1!H9),ParseTime(RunTime2!H9),ParseTime(RunTime3!H9),ParseTime(RunTime4!H9))
/
AVERAGE(ParseTime(RunTime1!J9),ParseTime(RunTime2!J9),ParseTime(RunTime3!J9),ParseTime(RunTime4!J9))</f>
        <v>0.71654496752651076</v>
      </c>
      <c r="R9" s="4">
        <f>AVERAGE(ParseTime(RunTime1!G9),ParseTime(RunTime2!G9),ParseTime(RunTime3!G9),ParseTime(RunTime4!G9))
/
AVERAGE(ParseTime(RunTime1!I9),ParseTime(RunTime2!I9),ParseTime(RunTime3!I9),ParseTime(RunTime4!I9))</f>
        <v>0.75918065153010861</v>
      </c>
      <c r="S9" s="4">
        <f>AVERAGE(ParseTime(RunTime1!H9),ParseTime(RunTime2!H9),ParseTime(RunTime3!H9),ParseTime(RunTime4!H9))
/
AVERAGE(ParseTime(RunTime1!I9),ParseTime(RunTime2!I9),ParseTime(RunTime3!I9),ParseTime(RunTime4!I9))</f>
        <v>0.96386969397828237</v>
      </c>
      <c r="T9" s="4">
        <f>AVERAGE(ParseTime(RunTime1!G9),ParseTime(RunTime2!G9),ParseTime(RunTime3!G9),ParseTime(RunTime4!G9))
/
AVERAGE(ParseTime(RunTime1!J9),ParseTime(RunTime2!J9),ParseTime(RunTime3!J9),ParseTime(RunTime4!J9))</f>
        <v>0.56437823358896266</v>
      </c>
      <c r="U9" t="s">
        <v>18</v>
      </c>
    </row>
    <row r="10" spans="1:21" x14ac:dyDescent="0.25">
      <c r="A10" t="s">
        <v>294</v>
      </c>
      <c r="B10" t="s">
        <v>63</v>
      </c>
      <c r="C10" t="s">
        <v>11</v>
      </c>
      <c r="D10" s="1">
        <v>243732</v>
      </c>
      <c r="E10">
        <v>2</v>
      </c>
      <c r="F10" t="s">
        <v>576</v>
      </c>
      <c r="G10" t="s">
        <v>577</v>
      </c>
      <c r="H10" t="s">
        <v>578</v>
      </c>
      <c r="I10" t="s">
        <v>1155</v>
      </c>
      <c r="J10" t="s">
        <v>1197</v>
      </c>
      <c r="K10" t="s">
        <v>498</v>
      </c>
      <c r="L10" t="s">
        <v>579</v>
      </c>
      <c r="M10" t="s">
        <v>580</v>
      </c>
      <c r="N10" t="s">
        <v>374</v>
      </c>
      <c r="O10" s="4">
        <f>AVERAGE(ParseTime(RunTime1!F10),ParseTime(RunTime2!F10),ParseTime(RunTime3!F10),ParseTime(RunTime4!F10))
/
AVERAGE(ParseTime(RunTime1!J10),ParseTime(RunTime2!J10),ParseTime(RunTime3!J10),ParseTime(RunTime4!J10))</f>
        <v>2.7974368783473604</v>
      </c>
      <c r="P10" s="4">
        <f>AVERAGE(ParseTime(RunTime1!F10),ParseTime(RunTime2!F10),ParseTime(RunTime3!F10),ParseTime(RunTime4!F10))
/
AVERAGE(ParseTime(RunTime1!I10),ParseTime(RunTime2!I10),ParseTime(RunTime3!I10),ParseTime(RunTime4!I10))</f>
        <v>3.2053038189688232</v>
      </c>
      <c r="Q10" s="4">
        <f>AVERAGE(ParseTime(RunTime1!H10),ParseTime(RunTime2!H10),ParseTime(RunTime3!H10),ParseTime(RunTime4!H10))
/
AVERAGE(ParseTime(RunTime1!J10),ParseTime(RunTime2!J10),ParseTime(RunTime3!J10),ParseTime(RunTime4!J10))</f>
        <v>0.92712318286151507</v>
      </c>
      <c r="R10" s="4">
        <f>AVERAGE(ParseTime(RunTime1!G10),ParseTime(RunTime2!G10),ParseTime(RunTime3!G10),ParseTime(RunTime4!G10))
/
AVERAGE(ParseTime(RunTime1!I10),ParseTime(RunTime2!I10),ParseTime(RunTime3!I10),ParseTime(RunTime4!I10))</f>
        <v>1.0537504794257848</v>
      </c>
      <c r="S10" s="4">
        <f>AVERAGE(ParseTime(RunTime1!H10),ParseTime(RunTime2!H10),ParseTime(RunTime3!H10),ParseTime(RunTime4!H10))
/
AVERAGE(ParseTime(RunTime1!I10),ParseTime(RunTime2!I10),ParseTime(RunTime3!I10),ParseTime(RunTime4!I10))</f>
        <v>1.0622979562763684</v>
      </c>
      <c r="T10" s="4">
        <f>AVERAGE(ParseTime(RunTime1!G10),ParseTime(RunTime2!G10),ParseTime(RunTime3!G10),ParseTime(RunTime4!G10))
/
AVERAGE(ParseTime(RunTime1!J10),ParseTime(RunTime2!J10),ParseTime(RunTime3!J10),ParseTime(RunTime4!J10))</f>
        <v>0.91966335118592202</v>
      </c>
      <c r="U10" t="s">
        <v>18</v>
      </c>
    </row>
    <row r="11" spans="1:21" x14ac:dyDescent="0.25">
      <c r="A11" t="s">
        <v>294</v>
      </c>
      <c r="B11" t="s">
        <v>63</v>
      </c>
      <c r="C11" t="s">
        <v>19</v>
      </c>
      <c r="D11" s="1">
        <v>251509</v>
      </c>
      <c r="E11">
        <v>2</v>
      </c>
      <c r="F11" t="s">
        <v>581</v>
      </c>
      <c r="G11" t="s">
        <v>582</v>
      </c>
      <c r="H11" t="s">
        <v>583</v>
      </c>
      <c r="I11" t="s">
        <v>1156</v>
      </c>
      <c r="J11" t="s">
        <v>1198</v>
      </c>
      <c r="K11" t="s">
        <v>584</v>
      </c>
      <c r="L11" t="s">
        <v>585</v>
      </c>
      <c r="M11" t="s">
        <v>258</v>
      </c>
      <c r="N11" t="s">
        <v>1057</v>
      </c>
      <c r="O11" s="4">
        <f>AVERAGE(ParseTime(RunTime1!F11),ParseTime(RunTime2!F11),ParseTime(RunTime3!F11),ParseTime(RunTime4!F11))
/
AVERAGE(ParseTime(RunTime1!J11),ParseTime(RunTime2!J11),ParseTime(RunTime3!J11),ParseTime(RunTime4!J11))</f>
        <v>2.8910788916980548</v>
      </c>
      <c r="P11" s="4">
        <f>AVERAGE(ParseTime(RunTime1!F11),ParseTime(RunTime2!F11),ParseTime(RunTime3!F11),ParseTime(RunTime4!F11))
/
AVERAGE(ParseTime(RunTime1!I11),ParseTime(RunTime2!I11),ParseTime(RunTime3!I11),ParseTime(RunTime4!I11))</f>
        <v>3.1998172577237165</v>
      </c>
      <c r="Q11" s="4">
        <f>AVERAGE(ParseTime(RunTime1!H11),ParseTime(RunTime2!H11),ParseTime(RunTime3!H11),ParseTime(RunTime4!H11))
/
AVERAGE(ParseTime(RunTime1!J11),ParseTime(RunTime2!J11),ParseTime(RunTime3!J11),ParseTime(RunTime4!J11))</f>
        <v>0.88468087301996801</v>
      </c>
      <c r="R11" s="4">
        <f>AVERAGE(ParseTime(RunTime1!G11),ParseTime(RunTime2!G11),ParseTime(RunTime3!G11),ParseTime(RunTime4!G11))
/
AVERAGE(ParseTime(RunTime1!I11),ParseTime(RunTime2!I11),ParseTime(RunTime3!I11),ParseTime(RunTime4!I11))</f>
        <v>0.71960481982753699</v>
      </c>
      <c r="S11" s="4">
        <f>AVERAGE(ParseTime(RunTime1!H11),ParseTime(RunTime2!H11),ParseTime(RunTime3!H11),ParseTime(RunTime4!H11))
/
AVERAGE(ParseTime(RunTime1!I11),ParseTime(RunTime2!I11),ParseTime(RunTime3!I11),ParseTime(RunTime4!I11))</f>
        <v>0.97915595911141573</v>
      </c>
      <c r="T11" s="4">
        <f>AVERAGE(ParseTime(RunTime1!G11),ParseTime(RunTime2!G11),ParseTime(RunTime3!G11),ParseTime(RunTime4!G11))
/
AVERAGE(ParseTime(RunTime1!J11),ParseTime(RunTime2!J11),ParseTime(RunTime3!J11),ParseTime(RunTime4!J11))</f>
        <v>0.65017284969815792</v>
      </c>
      <c r="U11" t="s">
        <v>18</v>
      </c>
    </row>
    <row r="12" spans="1:21" x14ac:dyDescent="0.25">
      <c r="A12" t="s">
        <v>294</v>
      </c>
      <c r="B12" t="s">
        <v>76</v>
      </c>
      <c r="C12" t="s">
        <v>11</v>
      </c>
      <c r="D12" s="1">
        <v>259612</v>
      </c>
      <c r="E12">
        <v>2</v>
      </c>
      <c r="F12" t="s">
        <v>586</v>
      </c>
      <c r="G12" t="s">
        <v>587</v>
      </c>
      <c r="H12" t="s">
        <v>588</v>
      </c>
      <c r="I12" t="s">
        <v>1157</v>
      </c>
      <c r="J12" t="s">
        <v>1199</v>
      </c>
      <c r="K12" t="s">
        <v>573</v>
      </c>
      <c r="L12" t="s">
        <v>589</v>
      </c>
      <c r="M12" t="s">
        <v>590</v>
      </c>
      <c r="N12" t="s">
        <v>43</v>
      </c>
      <c r="O12" s="4">
        <f>AVERAGE(ParseTime(RunTime1!F12),ParseTime(RunTime2!F12),ParseTime(RunTime3!F12),ParseTime(RunTime4!F12))
/
AVERAGE(ParseTime(RunTime1!J12),ParseTime(RunTime2!J12),ParseTime(RunTime3!J12),ParseTime(RunTime4!J12))</f>
        <v>1.881027827389526</v>
      </c>
      <c r="P12" s="4">
        <f>AVERAGE(ParseTime(RunTime1!F12),ParseTime(RunTime2!F12),ParseTime(RunTime3!F12),ParseTime(RunTime4!F12))
/
AVERAGE(ParseTime(RunTime1!I12),ParseTime(RunTime2!I12),ParseTime(RunTime3!I12),ParseTime(RunTime4!I12))</f>
        <v>1.9180472329925979</v>
      </c>
      <c r="Q12" s="4">
        <f>AVERAGE(ParseTime(RunTime1!H12),ParseTime(RunTime2!H12),ParseTime(RunTime3!H12),ParseTime(RunTime4!H12))
/
AVERAGE(ParseTime(RunTime1!J12),ParseTime(RunTime2!J12),ParseTime(RunTime3!J12),ParseTime(RunTime4!J12))</f>
        <v>1.0412513683240192</v>
      </c>
      <c r="R12" s="4">
        <f>AVERAGE(ParseTime(RunTime1!G12),ParseTime(RunTime2!G12),ParseTime(RunTime3!G12),ParseTime(RunTime4!G12))
/
AVERAGE(ParseTime(RunTime1!I12),ParseTime(RunTime2!I12),ParseTime(RunTime3!I12),ParseTime(RunTime4!I12))</f>
        <v>0.92492069087063811</v>
      </c>
      <c r="S12" s="4">
        <f>AVERAGE(ParseTime(RunTime1!H12),ParseTime(RunTime2!H12),ParseTime(RunTime3!H12),ParseTime(RunTime4!H12))
/
AVERAGE(ParseTime(RunTime1!I12),ParseTime(RunTime2!I12),ParseTime(RunTime3!I12),ParseTime(RunTime4!I12))</f>
        <v>1.0617436258958994</v>
      </c>
      <c r="T12" s="4">
        <f>AVERAGE(ParseTime(RunTime1!G12),ParseTime(RunTime2!G12),ParseTime(RunTime3!G12),ParseTime(RunTime4!G12))
/
AVERAGE(ParseTime(RunTime1!J12),ParseTime(RunTime2!J12),ParseTime(RunTime3!J12),ParseTime(RunTime4!J12))</f>
        <v>0.90706919398513575</v>
      </c>
      <c r="U12" t="s">
        <v>18</v>
      </c>
    </row>
    <row r="13" spans="1:21" x14ac:dyDescent="0.25">
      <c r="A13" t="s">
        <v>294</v>
      </c>
      <c r="B13" t="s">
        <v>76</v>
      </c>
      <c r="C13" t="s">
        <v>19</v>
      </c>
      <c r="D13" s="1">
        <v>265657</v>
      </c>
      <c r="E13">
        <v>2</v>
      </c>
      <c r="F13" t="s">
        <v>591</v>
      </c>
      <c r="G13" t="s">
        <v>592</v>
      </c>
      <c r="H13" t="s">
        <v>593</v>
      </c>
      <c r="I13" t="s">
        <v>1158</v>
      </c>
      <c r="J13" t="s">
        <v>1200</v>
      </c>
      <c r="K13" t="s">
        <v>594</v>
      </c>
      <c r="L13" t="s">
        <v>595</v>
      </c>
      <c r="M13" t="s">
        <v>332</v>
      </c>
      <c r="N13" t="s">
        <v>317</v>
      </c>
      <c r="O13" s="4">
        <f>AVERAGE(ParseTime(RunTime1!F13),ParseTime(RunTime2!F13),ParseTime(RunTime3!F13),ParseTime(RunTime4!F13))
/
AVERAGE(ParseTime(RunTime1!J13),ParseTime(RunTime2!J13),ParseTime(RunTime3!J13),ParseTime(RunTime4!J13))</f>
        <v>1.5287199745720383</v>
      </c>
      <c r="P13" s="4">
        <f>AVERAGE(ParseTime(RunTime1!F13),ParseTime(RunTime2!F13),ParseTime(RunTime3!F13),ParseTime(RunTime4!F13))
/
AVERAGE(ParseTime(RunTime1!I13),ParseTime(RunTime2!I13),ParseTime(RunTime3!I13),ParseTime(RunTime4!I13))</f>
        <v>2.1031359320339833</v>
      </c>
      <c r="Q13" s="4">
        <f>AVERAGE(ParseTime(RunTime1!H13),ParseTime(RunTime2!H13),ParseTime(RunTime3!H13),ParseTime(RunTime4!H13))
/
AVERAGE(ParseTime(RunTime1!J13),ParseTime(RunTime2!J13),ParseTime(RunTime3!J13),ParseTime(RunTime4!J13))</f>
        <v>0.88952458793079947</v>
      </c>
      <c r="R13" s="4">
        <f>AVERAGE(ParseTime(RunTime1!G13),ParseTime(RunTime2!G13),ParseTime(RunTime3!G13),ParseTime(RunTime4!G13))
/
AVERAGE(ParseTime(RunTime1!I13),ParseTime(RunTime2!I13),ParseTime(RunTime3!I13),ParseTime(RunTime4!I13))</f>
        <v>0.73069715142428793</v>
      </c>
      <c r="S13" s="4">
        <f>AVERAGE(ParseTime(RunTime1!H13),ParseTime(RunTime2!H13),ParseTime(RunTime3!H13),ParseTime(RunTime4!H13))
/
AVERAGE(ParseTime(RunTime1!I13),ParseTime(RunTime2!I13),ParseTime(RunTime3!I13),ParseTime(RunTime4!I13))</f>
        <v>1.2237631184407793</v>
      </c>
      <c r="T13" s="4">
        <f>AVERAGE(ParseTime(RunTime1!G13),ParseTime(RunTime2!G13),ParseTime(RunTime3!G13),ParseTime(RunTime4!G13))
/
AVERAGE(ParseTime(RunTime1!J13),ParseTime(RunTime2!J13),ParseTime(RunTime3!J13),ParseTime(RunTime4!J13))</f>
        <v>0.53112654951641469</v>
      </c>
      <c r="U13" t="s">
        <v>18</v>
      </c>
    </row>
    <row r="14" spans="1:21" x14ac:dyDescent="0.25">
      <c r="A14" t="s">
        <v>294</v>
      </c>
      <c r="B14" t="s">
        <v>89</v>
      </c>
      <c r="C14" t="s">
        <v>11</v>
      </c>
      <c r="D14" s="1">
        <v>235305</v>
      </c>
      <c r="E14">
        <v>2</v>
      </c>
      <c r="F14" t="s">
        <v>596</v>
      </c>
      <c r="G14" t="s">
        <v>597</v>
      </c>
      <c r="H14" t="s">
        <v>598</v>
      </c>
      <c r="I14" t="s">
        <v>1159</v>
      </c>
      <c r="J14" t="s">
        <v>1201</v>
      </c>
      <c r="K14" t="s">
        <v>599</v>
      </c>
      <c r="L14" t="s">
        <v>160</v>
      </c>
      <c r="M14" t="s">
        <v>600</v>
      </c>
      <c r="N14" t="s">
        <v>537</v>
      </c>
      <c r="O14" s="4">
        <f>AVERAGE(ParseTime(RunTime1!F14),ParseTime(RunTime2!F14),ParseTime(RunTime3!F14),ParseTime(RunTime4!F14))
/
AVERAGE(ParseTime(RunTime1!J14),ParseTime(RunTime2!J14),ParseTime(RunTime3!J14),ParseTime(RunTime4!J14))</f>
        <v>1.6537027888804057</v>
      </c>
      <c r="P14" s="4">
        <f>AVERAGE(ParseTime(RunTime1!F14),ParseTime(RunTime2!F14),ParseTime(RunTime3!F14),ParseTime(RunTime4!F14))
/
AVERAGE(ParseTime(RunTime1!I14),ParseTime(RunTime2!I14),ParseTime(RunTime3!I14),ParseTime(RunTime4!I14))</f>
        <v>2.3493045808345032</v>
      </c>
      <c r="Q14" s="4">
        <f>AVERAGE(ParseTime(RunTime1!H14),ParseTime(RunTime2!H14),ParseTime(RunTime3!H14),ParseTime(RunTime4!H14))
/
AVERAGE(ParseTime(RunTime1!J14),ParseTime(RunTime2!J14),ParseTime(RunTime3!J14),ParseTime(RunTime4!J14))</f>
        <v>0.69582790676786277</v>
      </c>
      <c r="R14" s="4">
        <f>AVERAGE(ParseTime(RunTime1!G14),ParseTime(RunTime2!G14),ParseTime(RunTime3!G14),ParseTime(RunTime4!G14))
/
AVERAGE(ParseTime(RunTime1!I14),ParseTime(RunTime2!I14),ParseTime(RunTime3!I14),ParseTime(RunTime4!I14))</f>
        <v>0.78422865892560933</v>
      </c>
      <c r="S14" s="4">
        <f>AVERAGE(ParseTime(RunTime1!H14),ParseTime(RunTime2!H14),ParseTime(RunTime3!H14),ParseTime(RunTime4!H14))
/
AVERAGE(ParseTime(RunTime1!I14),ParseTime(RunTime2!I14),ParseTime(RunTime3!I14),ParseTime(RunTime4!I14))</f>
        <v>0.98851601378078358</v>
      </c>
      <c r="T14" s="4">
        <f>AVERAGE(ParseTime(RunTime1!G14),ParseTime(RunTime2!G14),ParseTime(RunTime3!G14),ParseTime(RunTime4!G14))
/
AVERAGE(ParseTime(RunTime1!J14),ParseTime(RunTime2!J14),ParseTime(RunTime3!J14),ParseTime(RunTime4!J14))</f>
        <v>0.55202766425652305</v>
      </c>
      <c r="U14" t="s">
        <v>18</v>
      </c>
    </row>
    <row r="15" spans="1:21" x14ac:dyDescent="0.25">
      <c r="A15" t="s">
        <v>294</v>
      </c>
      <c r="B15" t="s">
        <v>89</v>
      </c>
      <c r="C15" t="s">
        <v>19</v>
      </c>
      <c r="D15" s="1">
        <v>233608</v>
      </c>
      <c r="E15">
        <v>2</v>
      </c>
      <c r="F15" t="s">
        <v>601</v>
      </c>
      <c r="G15" t="s">
        <v>602</v>
      </c>
      <c r="H15" t="s">
        <v>603</v>
      </c>
      <c r="I15" t="s">
        <v>1160</v>
      </c>
      <c r="J15" t="s">
        <v>1202</v>
      </c>
      <c r="K15" t="s">
        <v>111</v>
      </c>
      <c r="L15" t="s">
        <v>253</v>
      </c>
      <c r="M15" t="s">
        <v>331</v>
      </c>
      <c r="N15" t="s">
        <v>36</v>
      </c>
      <c r="O15" s="4">
        <f>AVERAGE(ParseTime(RunTime1!F15),ParseTime(RunTime2!F15),ParseTime(RunTime3!F15),ParseTime(RunTime4!F15))
/
AVERAGE(ParseTime(RunTime1!J15),ParseTime(RunTime2!J15),ParseTime(RunTime3!J15),ParseTime(RunTime4!J15))</f>
        <v>1.7054108216432864</v>
      </c>
      <c r="P15" s="4">
        <f>AVERAGE(ParseTime(RunTime1!F15),ParseTime(RunTime2!F15),ParseTime(RunTime3!F15),ParseTime(RunTime4!F15))
/
AVERAGE(ParseTime(RunTime1!I15),ParseTime(RunTime2!I15),ParseTime(RunTime3!I15),ParseTime(RunTime4!I15))</f>
        <v>2.0313898669212866</v>
      </c>
      <c r="Q15" s="4">
        <f>AVERAGE(ParseTime(RunTime1!H15),ParseTime(RunTime2!H15),ParseTime(RunTime3!H15),ParseTime(RunTime4!H15))
/
AVERAGE(ParseTime(RunTime1!J15),ParseTime(RunTime2!J15),ParseTime(RunTime3!J15),ParseTime(RunTime4!J15))</f>
        <v>0.93892785571142279</v>
      </c>
      <c r="R15" s="4">
        <f>AVERAGE(ParseTime(RunTime1!G15),ParseTime(RunTime2!G15),ParseTime(RunTime3!G15),ParseTime(RunTime4!G15))
/
AVERAGE(ParseTime(RunTime1!I15),ParseTime(RunTime2!I15),ParseTime(RunTime3!I15),ParseTime(RunTime4!I15))</f>
        <v>0.61257981738974765</v>
      </c>
      <c r="S15" s="4">
        <f>AVERAGE(ParseTime(RunTime1!H15),ParseTime(RunTime2!H15),ParseTime(RunTime3!H15),ParseTime(RunTime4!H15))
/
AVERAGE(ParseTime(RunTime1!I15),ParseTime(RunTime2!I15),ParseTime(RunTime3!I15),ParseTime(RunTime4!I15))</f>
        <v>1.1183982813152713</v>
      </c>
      <c r="T15" s="4">
        <f>AVERAGE(ParseTime(RunTime1!G15),ParseTime(RunTime2!G15),ParseTime(RunTime3!G15),ParseTime(RunTime4!G15))
/
AVERAGE(ParseTime(RunTime1!J15),ParseTime(RunTime2!J15),ParseTime(RunTime3!J15),ParseTime(RunTime4!J15))</f>
        <v>0.51427855711422843</v>
      </c>
      <c r="U15" t="s">
        <v>18</v>
      </c>
    </row>
    <row r="16" spans="1:21" x14ac:dyDescent="0.25">
      <c r="A16" t="s">
        <v>294</v>
      </c>
      <c r="B16" t="s">
        <v>101</v>
      </c>
      <c r="C16" t="s">
        <v>11</v>
      </c>
      <c r="D16" s="1">
        <v>222180</v>
      </c>
      <c r="E16">
        <v>2</v>
      </c>
      <c r="F16" t="s">
        <v>604</v>
      </c>
      <c r="G16" t="s">
        <v>605</v>
      </c>
      <c r="H16" t="s">
        <v>606</v>
      </c>
      <c r="I16" t="s">
        <v>1161</v>
      </c>
      <c r="J16" t="s">
        <v>1203</v>
      </c>
      <c r="K16" t="s">
        <v>325</v>
      </c>
      <c r="L16" t="s">
        <v>607</v>
      </c>
      <c r="M16" t="s">
        <v>413</v>
      </c>
      <c r="N16" t="s">
        <v>848</v>
      </c>
      <c r="O16" s="4">
        <f>AVERAGE(ParseTime(RunTime1!F16),ParseTime(RunTime2!F16),ParseTime(RunTime3!F16),ParseTime(RunTime4!F16))
/
AVERAGE(ParseTime(RunTime1!J16),ParseTime(RunTime2!J16),ParseTime(RunTime3!J16),ParseTime(RunTime4!J16))</f>
        <v>1.6240388506677459</v>
      </c>
      <c r="P16" s="4">
        <f>AVERAGE(ParseTime(RunTime1!F16),ParseTime(RunTime2!F16),ParseTime(RunTime3!F16),ParseTime(RunTime4!F16))
/
AVERAGE(ParseTime(RunTime1!I16),ParseTime(RunTime2!I16),ParseTime(RunTime3!I16),ParseTime(RunTime4!I16))</f>
        <v>1.7224232019130541</v>
      </c>
      <c r="Q16" s="4">
        <f>AVERAGE(ParseTime(RunTime1!H16),ParseTime(RunTime2!H16),ParseTime(RunTime3!H16),ParseTime(RunTime4!H16))
/
AVERAGE(ParseTime(RunTime1!J16),ParseTime(RunTime2!J16),ParseTime(RunTime3!J16),ParseTime(RunTime4!J16))</f>
        <v>0.99485459906342133</v>
      </c>
      <c r="R16" s="4">
        <f>AVERAGE(ParseTime(RunTime1!G16),ParseTime(RunTime2!G16),ParseTime(RunTime3!G16),ParseTime(RunTime4!G16))
/
AVERAGE(ParseTime(RunTime1!I16),ParseTime(RunTime2!I16),ParseTime(RunTime3!I16),ParseTime(RunTime4!I16))</f>
        <v>0.80495431970077869</v>
      </c>
      <c r="S16" s="4">
        <f>AVERAGE(ParseTime(RunTime1!H16),ParseTime(RunTime2!H16),ParseTime(RunTime3!H16),ParseTime(RunTime4!H16))
/
AVERAGE(ParseTime(RunTime1!I16),ParseTime(RunTime2!I16),ParseTime(RunTime3!I16),ParseTime(RunTime4!I16))</f>
        <v>1.0551229382549512</v>
      </c>
      <c r="T16" s="4">
        <f>AVERAGE(ParseTime(RunTime1!G16),ParseTime(RunTime2!G16),ParseTime(RunTime3!G16),ParseTime(RunTime4!G16))
/
AVERAGE(ParseTime(RunTime1!J16),ParseTime(RunTime2!J16),ParseTime(RunTime3!J16),ParseTime(RunTime4!J16))</f>
        <v>0.75897554489217778</v>
      </c>
      <c r="U16" t="s">
        <v>18</v>
      </c>
    </row>
    <row r="17" spans="1:21" x14ac:dyDescent="0.25">
      <c r="A17" t="s">
        <v>294</v>
      </c>
      <c r="B17" t="s">
        <v>101</v>
      </c>
      <c r="C17" t="s">
        <v>19</v>
      </c>
      <c r="D17" s="1">
        <v>215330</v>
      </c>
      <c r="E17">
        <v>2</v>
      </c>
      <c r="F17" t="s">
        <v>608</v>
      </c>
      <c r="G17" t="s">
        <v>109</v>
      </c>
      <c r="H17" t="s">
        <v>609</v>
      </c>
      <c r="I17" t="s">
        <v>1162</v>
      </c>
      <c r="J17" t="s">
        <v>1204</v>
      </c>
      <c r="K17" t="s">
        <v>610</v>
      </c>
      <c r="L17" t="s">
        <v>611</v>
      </c>
      <c r="M17" t="s">
        <v>612</v>
      </c>
      <c r="N17" t="s">
        <v>204</v>
      </c>
      <c r="O17" s="4">
        <f>AVERAGE(ParseTime(RunTime1!F17),ParseTime(RunTime2!F17),ParseTime(RunTime3!F17),ParseTime(RunTime4!F17))
/
AVERAGE(ParseTime(RunTime1!J17),ParseTime(RunTime2!J17),ParseTime(RunTime3!J17),ParseTime(RunTime4!J17))</f>
        <v>1.399324754122425</v>
      </c>
      <c r="P17" s="4">
        <f>AVERAGE(ParseTime(RunTime1!F17),ParseTime(RunTime2!F17),ParseTime(RunTime3!F17),ParseTime(RunTime4!F17))
/
AVERAGE(ParseTime(RunTime1!I17),ParseTime(RunTime2!I17),ParseTime(RunTime3!I17),ParseTime(RunTime4!I17))</f>
        <v>1.8443183283890106</v>
      </c>
      <c r="Q17" s="4">
        <f>AVERAGE(ParseTime(RunTime1!H17),ParseTime(RunTime2!H17),ParseTime(RunTime3!H17),ParseTime(RunTime4!H17))
/
AVERAGE(ParseTime(RunTime1!J17),ParseTime(RunTime2!J17),ParseTime(RunTime3!J17),ParseTime(RunTime4!J17))</f>
        <v>0.93448157753094863</v>
      </c>
      <c r="R17" s="4">
        <f>AVERAGE(ParseTime(RunTime1!G17),ParseTime(RunTime2!G17),ParseTime(RunTime3!G17),ParseTime(RunTime4!G17))
/
AVERAGE(ParseTime(RunTime1!I17),ParseTime(RunTime2!I17),ParseTime(RunTime3!I17),ParseTime(RunTime4!I17))</f>
        <v>0.6551012511285953</v>
      </c>
      <c r="S17" s="4">
        <f>AVERAGE(ParseTime(RunTime1!H17),ParseTime(RunTime2!H17),ParseTime(RunTime3!H17),ParseTime(RunTime4!H17))
/
AVERAGE(ParseTime(RunTime1!I17),ParseTime(RunTime2!I17),ParseTime(RunTime3!I17),ParseTime(RunTime4!I17))</f>
        <v>1.2316522636398812</v>
      </c>
      <c r="T17" s="4">
        <f>AVERAGE(ParseTime(RunTime1!G17),ParseTime(RunTime2!G17),ParseTime(RunTime3!G17),ParseTime(RunTime4!G17))
/
AVERAGE(ParseTime(RunTime1!J17),ParseTime(RunTime2!J17),ParseTime(RunTime3!J17),ParseTime(RunTime4!J17))</f>
        <v>0.49703968292802264</v>
      </c>
      <c r="U17" t="s">
        <v>18</v>
      </c>
    </row>
    <row r="18" spans="1:21" x14ac:dyDescent="0.25">
      <c r="A18" t="s">
        <v>294</v>
      </c>
      <c r="B18" t="s">
        <v>114</v>
      </c>
      <c r="C18" t="s">
        <v>11</v>
      </c>
      <c r="D18" s="1">
        <v>176918</v>
      </c>
      <c r="E18">
        <v>2</v>
      </c>
      <c r="F18" t="s">
        <v>613</v>
      </c>
      <c r="G18" t="s">
        <v>614</v>
      </c>
      <c r="H18" t="s">
        <v>615</v>
      </c>
      <c r="I18" t="s">
        <v>1163</v>
      </c>
      <c r="J18" t="s">
        <v>1205</v>
      </c>
      <c r="K18" t="s">
        <v>47</v>
      </c>
      <c r="L18" t="s">
        <v>616</v>
      </c>
      <c r="M18" t="s">
        <v>617</v>
      </c>
      <c r="N18" t="s">
        <v>1230</v>
      </c>
      <c r="O18" s="4">
        <f>AVERAGE(ParseTime(RunTime1!F18),ParseTime(RunTime2!F18),ParseTime(RunTime3!F18),ParseTime(RunTime4!F18))
/
AVERAGE(ParseTime(RunTime1!J18),ParseTime(RunTime2!J18),ParseTime(RunTime3!J18),ParseTime(RunTime4!J18))</f>
        <v>124.01996173469387</v>
      </c>
      <c r="P18" s="4">
        <f>AVERAGE(ParseTime(RunTime1!F18),ParseTime(RunTime2!F18),ParseTime(RunTime3!F18),ParseTime(RunTime4!F18))
/
AVERAGE(ParseTime(RunTime1!I18),ParseTime(RunTime2!I18),ParseTime(RunTime3!I18),ParseTime(RunTime4!I18))</f>
        <v>121.13074623146879</v>
      </c>
      <c r="Q18" s="4">
        <f>AVERAGE(ParseTime(RunTime1!H18),ParseTime(RunTime2!H18),ParseTime(RunTime3!H18),ParseTime(RunTime4!H18))
/
AVERAGE(ParseTime(RunTime1!J18),ParseTime(RunTime2!J18),ParseTime(RunTime3!J18),ParseTime(RunTime4!J18))</f>
        <v>1.0300382653061224</v>
      </c>
      <c r="R18" s="4">
        <f>AVERAGE(ParseTime(RunTime1!G18),ParseTime(RunTime2!G18),ParseTime(RunTime3!G18),ParseTime(RunTime4!G18))
/
AVERAGE(ParseTime(RunTime1!I18),ParseTime(RunTime2!I18),ParseTime(RunTime3!I18),ParseTime(RunTime4!I18))</f>
        <v>0.8033511897346457</v>
      </c>
      <c r="S18" s="4">
        <f>AVERAGE(ParseTime(RunTime1!H18),ParseTime(RunTime2!H18),ParseTime(RunTime3!H18),ParseTime(RunTime4!H18))
/
AVERAGE(ParseTime(RunTime1!I18),ParseTime(RunTime2!I18),ParseTime(RunTime3!I18),ParseTime(RunTime4!I18))</f>
        <v>1.0060421078858852</v>
      </c>
      <c r="T18" s="4">
        <f>AVERAGE(ParseTime(RunTime1!G18),ParseTime(RunTime2!G18),ParseTime(RunTime3!G18),ParseTime(RunTime4!G18))
/
AVERAGE(ParseTime(RunTime1!J18),ParseTime(RunTime2!J18),ParseTime(RunTime3!J18),ParseTime(RunTime4!J18))</f>
        <v>0.8225127551020408</v>
      </c>
      <c r="U18" t="s">
        <v>18</v>
      </c>
    </row>
    <row r="19" spans="1:21" x14ac:dyDescent="0.25">
      <c r="A19" t="s">
        <v>294</v>
      </c>
      <c r="B19" t="s">
        <v>114</v>
      </c>
      <c r="C19" t="s">
        <v>19</v>
      </c>
      <c r="D19" s="1">
        <v>178143</v>
      </c>
      <c r="E19">
        <v>2</v>
      </c>
      <c r="F19" t="s">
        <v>618</v>
      </c>
      <c r="G19" t="s">
        <v>619</v>
      </c>
      <c r="H19" t="s">
        <v>620</v>
      </c>
      <c r="I19" t="s">
        <v>1164</v>
      </c>
      <c r="J19" t="s">
        <v>1206</v>
      </c>
      <c r="K19" t="s">
        <v>621</v>
      </c>
      <c r="L19" t="s">
        <v>622</v>
      </c>
      <c r="M19" t="s">
        <v>623</v>
      </c>
      <c r="N19" t="s">
        <v>777</v>
      </c>
      <c r="O19" s="4">
        <f>AVERAGE(ParseTime(RunTime1!F19),ParseTime(RunTime2!F19),ParseTime(RunTime3!F19),ParseTime(RunTime4!F19))
/
AVERAGE(ParseTime(RunTime1!J19),ParseTime(RunTime2!J19),ParseTime(RunTime3!J19),ParseTime(RunTime4!J19))</f>
        <v>118.00855486019405</v>
      </c>
      <c r="P19" s="4">
        <f>AVERAGE(ParseTime(RunTime1!F19),ParseTime(RunTime2!F19),ParseTime(RunTime3!F19),ParseTime(RunTime4!F19))
/
AVERAGE(ParseTime(RunTime1!I19),ParseTime(RunTime2!I19),ParseTime(RunTime3!I19),ParseTime(RunTime4!I19))</f>
        <v>144.69236184442099</v>
      </c>
      <c r="Q19" s="4">
        <f>AVERAGE(ParseTime(RunTime1!H19),ParseTime(RunTime2!H19),ParseTime(RunTime3!H19),ParseTime(RunTime4!H19))
/
AVERAGE(ParseTime(RunTime1!J19),ParseTime(RunTime2!J19),ParseTime(RunTime3!J19),ParseTime(RunTime4!J19))</f>
        <v>1.1217775736349542</v>
      </c>
      <c r="R19" s="4">
        <f>AVERAGE(ParseTime(RunTime1!G19),ParseTime(RunTime2!G19),ParseTime(RunTime3!G19),ParseTime(RunTime4!G19))
/
AVERAGE(ParseTime(RunTime1!I19),ParseTime(RunTime2!I19),ParseTime(RunTime3!I19),ParseTime(RunTime4!I19))</f>
        <v>0.60774375219992949</v>
      </c>
      <c r="S19" s="4">
        <f>AVERAGE(ParseTime(RunTime1!H19),ParseTime(RunTime2!H19),ParseTime(RunTime3!H19),ParseTime(RunTime4!H19))
/
AVERAGE(ParseTime(RunTime1!I19),ParseTime(RunTime2!I19),ParseTime(RunTime3!I19),ParseTime(RunTime4!I19))</f>
        <v>1.3754311862020416</v>
      </c>
      <c r="T19" s="4">
        <f>AVERAGE(ParseTime(RunTime1!G19),ParseTime(RunTime2!G19),ParseTime(RunTime3!G19),ParseTime(RunTime4!G19))
/
AVERAGE(ParseTime(RunTime1!J19),ParseTime(RunTime2!J19),ParseTime(RunTime3!J19),ParseTime(RunTime4!J19))</f>
        <v>0.49566515473388062</v>
      </c>
      <c r="U19" t="s">
        <v>18</v>
      </c>
    </row>
    <row r="20" spans="1:21" x14ac:dyDescent="0.25">
      <c r="A20" t="s">
        <v>294</v>
      </c>
      <c r="B20" t="s">
        <v>127</v>
      </c>
      <c r="C20" t="s">
        <v>11</v>
      </c>
      <c r="D20" s="1">
        <v>209222</v>
      </c>
      <c r="E20">
        <v>2</v>
      </c>
      <c r="F20" t="s">
        <v>624</v>
      </c>
      <c r="G20" t="s">
        <v>625</v>
      </c>
      <c r="H20" t="s">
        <v>626</v>
      </c>
      <c r="I20" t="s">
        <v>1165</v>
      </c>
      <c r="J20" t="s">
        <v>214</v>
      </c>
      <c r="K20" t="s">
        <v>627</v>
      </c>
      <c r="L20" t="s">
        <v>628</v>
      </c>
      <c r="M20" t="s">
        <v>385</v>
      </c>
      <c r="N20" t="s">
        <v>15</v>
      </c>
      <c r="O20" s="4">
        <f>AVERAGE(ParseTime(RunTime1!F20),ParseTime(RunTime2!F20),ParseTime(RunTime3!F20),ParseTime(RunTime4!F20))
/
AVERAGE(ParseTime(RunTime1!J20),ParseTime(RunTime2!J20),ParseTime(RunTime3!J20),ParseTime(RunTime4!J20))</f>
        <v>1.5625599638805803</v>
      </c>
      <c r="P20" s="4">
        <f>AVERAGE(ParseTime(RunTime1!F20),ParseTime(RunTime2!F20),ParseTime(RunTime3!F20),ParseTime(RunTime4!F20))
/
AVERAGE(ParseTime(RunTime1!I20),ParseTime(RunTime2!I20),ParseTime(RunTime3!I20),ParseTime(RunTime4!I20))</f>
        <v>2.1104504916533271</v>
      </c>
      <c r="Q20" s="4">
        <f>AVERAGE(ParseTime(RunTime1!H20),ParseTime(RunTime2!H20),ParseTime(RunTime3!H20),ParseTime(RunTime4!H20))
/
AVERAGE(ParseTime(RunTime1!J20),ParseTime(RunTime2!J20),ParseTime(RunTime3!J20),ParseTime(RunTime4!J20))</f>
        <v>0.73102319543992345</v>
      </c>
      <c r="R20" s="4">
        <f>AVERAGE(ParseTime(RunTime1!G20),ParseTime(RunTime2!G20),ParseTime(RunTime3!G20),ParseTime(RunTime4!G20))
/
AVERAGE(ParseTime(RunTime1!I20),ParseTime(RunTime2!I20),ParseTime(RunTime3!I20),ParseTime(RunTime4!I20))</f>
        <v>0.90174555987499061</v>
      </c>
      <c r="S20" s="4">
        <f>AVERAGE(ParseTime(RunTime1!H20),ParseTime(RunTime2!H20),ParseTime(RunTime3!H20),ParseTime(RunTime4!H20))
/
AVERAGE(ParseTime(RunTime1!I20),ParseTime(RunTime2!I20),ParseTime(RunTime3!I20),ParseTime(RunTime4!I20))</f>
        <v>0.98734659653937051</v>
      </c>
      <c r="T20" s="4">
        <f>AVERAGE(ParseTime(RunTime1!G20),ParseTime(RunTime2!G20),ParseTime(RunTime3!G20),ParseTime(RunTime4!G20))
/
AVERAGE(ParseTime(RunTime1!J20),ParseTime(RunTime2!J20),ParseTime(RunTime3!J20),ParseTime(RunTime4!J20))</f>
        <v>0.6676449009537786</v>
      </c>
      <c r="U20" t="s">
        <v>18</v>
      </c>
    </row>
    <row r="21" spans="1:21" x14ac:dyDescent="0.25">
      <c r="A21" t="s">
        <v>294</v>
      </c>
      <c r="B21" t="s">
        <v>127</v>
      </c>
      <c r="C21" t="s">
        <v>19</v>
      </c>
      <c r="D21" s="1">
        <v>208613</v>
      </c>
      <c r="E21">
        <v>2</v>
      </c>
      <c r="F21" t="s">
        <v>629</v>
      </c>
      <c r="G21" t="s">
        <v>630</v>
      </c>
      <c r="H21" t="s">
        <v>631</v>
      </c>
      <c r="I21" t="s">
        <v>1166</v>
      </c>
      <c r="J21" t="s">
        <v>1207</v>
      </c>
      <c r="K21" t="s">
        <v>143</v>
      </c>
      <c r="L21" t="s">
        <v>632</v>
      </c>
      <c r="M21" t="s">
        <v>633</v>
      </c>
      <c r="N21" t="s">
        <v>558</v>
      </c>
      <c r="O21" s="4">
        <f>AVERAGE(ParseTime(RunTime1!F21),ParseTime(RunTime2!F21),ParseTime(RunTime3!F21),ParseTime(RunTime4!F21))
/
AVERAGE(ParseTime(RunTime1!J21),ParseTime(RunTime2!J21),ParseTime(RunTime3!J21),ParseTime(RunTime4!J21))</f>
        <v>1.8814771735969757</v>
      </c>
      <c r="P21" s="4">
        <f>AVERAGE(ParseTime(RunTime1!F21),ParseTime(RunTime2!F21),ParseTime(RunTime3!F21),ParseTime(RunTime4!F21))
/
AVERAGE(ParseTime(RunTime1!I21),ParseTime(RunTime2!I21),ParseTime(RunTime3!I21),ParseTime(RunTime4!I21))</f>
        <v>2.4943716268311489</v>
      </c>
      <c r="Q21" s="4">
        <f>AVERAGE(ParseTime(RunTime1!H21),ParseTime(RunTime2!H21),ParseTime(RunTime3!H21),ParseTime(RunTime4!H21))
/
AVERAGE(ParseTime(RunTime1!J21),ParseTime(RunTime2!J21),ParseTime(RunTime3!J21),ParseTime(RunTime4!J21))</f>
        <v>1.0070950857807501</v>
      </c>
      <c r="R21" s="4">
        <f>AVERAGE(ParseTime(RunTime1!G21),ParseTime(RunTime2!G21),ParseTime(RunTime3!G21),ParseTime(RunTime4!G21))
/
AVERAGE(ParseTime(RunTime1!I21),ParseTime(RunTime2!I21),ParseTime(RunTime3!I21),ParseTime(RunTime4!I21))</f>
        <v>0.68727833461835008</v>
      </c>
      <c r="S21" s="4">
        <f>AVERAGE(ParseTime(RunTime1!H21),ParseTime(RunTime2!H21),ParseTime(RunTime3!H21),ParseTime(RunTime4!H21))
/
AVERAGE(ParseTime(RunTime1!I21),ParseTime(RunTime2!I21),ParseTime(RunTime3!I21),ParseTime(RunTime4!I21))</f>
        <v>1.3351580570547419</v>
      </c>
      <c r="T21" s="4">
        <f>AVERAGE(ParseTime(RunTime1!G21),ParseTime(RunTime2!G21),ParseTime(RunTime3!G21),ParseTime(RunTime4!G21))
/
AVERAGE(ParseTime(RunTime1!J21),ParseTime(RunTime2!J21),ParseTime(RunTime3!J21),ParseTime(RunTime4!J21))</f>
        <v>0.51840651352137246</v>
      </c>
      <c r="U21" t="s">
        <v>18</v>
      </c>
    </row>
    <row r="22" spans="1:21" x14ac:dyDescent="0.25">
      <c r="A22" t="s">
        <v>294</v>
      </c>
      <c r="B22" t="s">
        <v>139</v>
      </c>
      <c r="C22" t="s">
        <v>11</v>
      </c>
      <c r="D22" s="1">
        <v>211435</v>
      </c>
      <c r="E22">
        <v>2</v>
      </c>
      <c r="F22" t="s">
        <v>634</v>
      </c>
      <c r="G22" t="s">
        <v>635</v>
      </c>
      <c r="H22" t="s">
        <v>636</v>
      </c>
      <c r="I22" t="s">
        <v>130</v>
      </c>
      <c r="J22" t="s">
        <v>22</v>
      </c>
      <c r="K22" t="s">
        <v>637</v>
      </c>
      <c r="L22" t="s">
        <v>638</v>
      </c>
      <c r="M22" t="s">
        <v>231</v>
      </c>
      <c r="N22" t="s">
        <v>159</v>
      </c>
      <c r="O22" s="4">
        <f>AVERAGE(ParseTime(RunTime1!F22),ParseTime(RunTime2!F22),ParseTime(RunTime3!F22),ParseTime(RunTime4!F22))
/
AVERAGE(ParseTime(RunTime1!J22),ParseTime(RunTime2!J22),ParseTime(RunTime3!J22),ParseTime(RunTime4!J22))</f>
        <v>1.8013790685443813</v>
      </c>
      <c r="P22" s="4">
        <f>AVERAGE(ParseTime(RunTime1!F22),ParseTime(RunTime2!F22),ParseTime(RunTime3!F22),ParseTime(RunTime4!F22))
/
AVERAGE(ParseTime(RunTime1!I22),ParseTime(RunTime2!I22),ParseTime(RunTime3!I22),ParseTime(RunTime4!I22))</f>
        <v>2.3766093593400663</v>
      </c>
      <c r="Q22" s="4">
        <f>AVERAGE(ParseTime(RunTime1!H22),ParseTime(RunTime2!H22),ParseTime(RunTime3!H22),ParseTime(RunTime4!H22))
/
AVERAGE(ParseTime(RunTime1!J22),ParseTime(RunTime2!J22),ParseTime(RunTime3!J22),ParseTime(RunTime4!J22))</f>
        <v>0.75679308128323497</v>
      </c>
      <c r="R22" s="4">
        <f>AVERAGE(ParseTime(RunTime1!G22),ParseTime(RunTime2!G22),ParseTime(RunTime3!G22),ParseTime(RunTime4!G22))
/
AVERAGE(ParseTime(RunTime1!I22),ParseTime(RunTime2!I22),ParseTime(RunTime3!I22),ParseTime(RunTime4!I22))</f>
        <v>0.88875183100763244</v>
      </c>
      <c r="S22" s="4">
        <f>AVERAGE(ParseTime(RunTime1!H22),ParseTime(RunTime2!H22),ParseTime(RunTime3!H22),ParseTime(RunTime4!H22))
/
AVERAGE(ParseTime(RunTime1!I22),ParseTime(RunTime2!I22),ParseTime(RunTime3!I22),ParseTime(RunTime4!I22))</f>
        <v>0.99845809883586467</v>
      </c>
      <c r="T22" s="4">
        <f>AVERAGE(ParseTime(RunTime1!G22),ParseTime(RunTime2!G22),ParseTime(RunTime3!G22),ParseTime(RunTime4!G22))
/
AVERAGE(ParseTime(RunTime1!J22),ParseTime(RunTime2!J22),ParseTime(RunTime3!J22),ParseTime(RunTime4!J22))</f>
        <v>0.67363992286565777</v>
      </c>
      <c r="U22" t="s">
        <v>18</v>
      </c>
    </row>
    <row r="23" spans="1:21" x14ac:dyDescent="0.25">
      <c r="A23" t="s">
        <v>294</v>
      </c>
      <c r="B23" t="s">
        <v>139</v>
      </c>
      <c r="C23" t="s">
        <v>19</v>
      </c>
      <c r="D23" s="1">
        <v>207634</v>
      </c>
      <c r="E23">
        <v>2</v>
      </c>
      <c r="F23" t="s">
        <v>639</v>
      </c>
      <c r="G23" t="s">
        <v>640</v>
      </c>
      <c r="H23" t="s">
        <v>641</v>
      </c>
      <c r="I23" t="s">
        <v>1167</v>
      </c>
      <c r="J23" t="s">
        <v>1125</v>
      </c>
      <c r="K23" t="s">
        <v>412</v>
      </c>
      <c r="L23" t="s">
        <v>642</v>
      </c>
      <c r="M23" t="s">
        <v>612</v>
      </c>
      <c r="N23" t="s">
        <v>1059</v>
      </c>
      <c r="O23" s="4">
        <f>AVERAGE(ParseTime(RunTime1!F23),ParseTime(RunTime2!F23),ParseTime(RunTime3!F23),ParseTime(RunTime4!F23))
/
AVERAGE(ParseTime(RunTime1!J23),ParseTime(RunTime2!J23),ParseTime(RunTime3!J23),ParseTime(RunTime4!J23))</f>
        <v>1.5247655610799928</v>
      </c>
      <c r="P23" s="4">
        <f>AVERAGE(ParseTime(RunTime1!F23),ParseTime(RunTime2!F23),ParseTime(RunTime3!F23),ParseTime(RunTime4!F23))
/
AVERAGE(ParseTime(RunTime1!I23),ParseTime(RunTime2!I23),ParseTime(RunTime3!I23),ParseTime(RunTime4!I23))</f>
        <v>1.8669183940818372</v>
      </c>
      <c r="Q23" s="4">
        <f>AVERAGE(ParseTime(RunTime1!H23),ParseTime(RunTime2!H23),ParseTime(RunTime3!H23),ParseTime(RunTime4!H23))
/
AVERAGE(ParseTime(RunTime1!J23),ParseTime(RunTime2!J23),ParseTime(RunTime3!J23),ParseTime(RunTime4!J23))</f>
        <v>0.92510541884322484</v>
      </c>
      <c r="R23" s="4">
        <f>AVERAGE(ParseTime(RunTime1!G23),ParseTime(RunTime2!G23),ParseTime(RunTime3!G23),ParseTime(RunTime4!G23))
/
AVERAGE(ParseTime(RunTime1!I23),ParseTime(RunTime2!I23),ParseTime(RunTime3!I23),ParseTime(RunTime4!I23))</f>
        <v>0.96886799722586114</v>
      </c>
      <c r="S23" s="4">
        <f>AVERAGE(ParseTime(RunTime1!H23),ParseTime(RunTime2!H23),ParseTime(RunTime3!H23),ParseTime(RunTime4!H23))
/
AVERAGE(ParseTime(RunTime1!I23),ParseTime(RunTime2!I23),ParseTime(RunTime3!I23),ParseTime(RunTime4!I23))</f>
        <v>1.1326963088541264</v>
      </c>
      <c r="T23" s="4">
        <f>AVERAGE(ParseTime(RunTime1!G23),ParseTime(RunTime2!G23),ParseTime(RunTime3!G23),ParseTime(RunTime4!G23))
/
AVERAGE(ParseTime(RunTime1!J23),ParseTime(RunTime2!J23),ParseTime(RunTime3!J23),ParseTime(RunTime4!J23))</f>
        <v>0.79130215872616283</v>
      </c>
      <c r="U23" t="s">
        <v>18</v>
      </c>
    </row>
    <row r="24" spans="1:21" x14ac:dyDescent="0.25">
      <c r="A24" t="s">
        <v>294</v>
      </c>
      <c r="B24" t="s">
        <v>150</v>
      </c>
      <c r="C24" t="s">
        <v>11</v>
      </c>
      <c r="D24" s="1">
        <v>193899</v>
      </c>
      <c r="E24">
        <v>2</v>
      </c>
      <c r="F24" t="s">
        <v>643</v>
      </c>
      <c r="G24" t="s">
        <v>644</v>
      </c>
      <c r="H24" t="s">
        <v>645</v>
      </c>
      <c r="I24" t="s">
        <v>1168</v>
      </c>
      <c r="J24" t="s">
        <v>1208</v>
      </c>
      <c r="K24" t="s">
        <v>646</v>
      </c>
      <c r="L24" t="s">
        <v>647</v>
      </c>
      <c r="M24" t="s">
        <v>648</v>
      </c>
      <c r="N24" t="s">
        <v>599</v>
      </c>
      <c r="O24" s="4">
        <f>AVERAGE(ParseTime(RunTime1!F24),ParseTime(RunTime2!F24),ParseTime(RunTime3!F24),ParseTime(RunTime4!F24))
/
AVERAGE(ParseTime(RunTime1!J24),ParseTime(RunTime2!J24),ParseTime(RunTime3!J24),ParseTime(RunTime4!J24))</f>
        <v>1.8694225721784781</v>
      </c>
      <c r="P24" s="4">
        <f>AVERAGE(ParseTime(RunTime1!F24),ParseTime(RunTime2!F24),ParseTime(RunTime3!F24),ParseTime(RunTime4!F24))
/
AVERAGE(ParseTime(RunTime1!I24),ParseTime(RunTime2!I24),ParseTime(RunTime3!I24),ParseTime(RunTime4!I24))</f>
        <v>2.2584225128814901</v>
      </c>
      <c r="Q24" s="4">
        <f>AVERAGE(ParseTime(RunTime1!H24),ParseTime(RunTime2!H24),ParseTime(RunTime3!H24),ParseTime(RunTime4!H24))
/
AVERAGE(ParseTime(RunTime1!J24),ParseTime(RunTime2!J24),ParseTime(RunTime3!J24),ParseTime(RunTime4!J24))</f>
        <v>0.64796587926509197</v>
      </c>
      <c r="R24" s="4">
        <f>AVERAGE(ParseTime(RunTime1!G24),ParseTime(RunTime2!G24),ParseTime(RunTime3!G24),ParseTime(RunTime4!G24))
/
AVERAGE(ParseTime(RunTime1!I24),ParseTime(RunTime2!I24),ParseTime(RunTime3!I24),ParseTime(RunTime4!I24))</f>
        <v>0.87665477606024556</v>
      </c>
      <c r="S24" s="4">
        <f>AVERAGE(ParseTime(RunTime1!H24),ParseTime(RunTime2!H24),ParseTime(RunTime3!H24),ParseTime(RunTime4!H24))
/
AVERAGE(ParseTime(RunTime1!I24),ParseTime(RunTime2!I24),ParseTime(RunTime3!I24),ParseTime(RunTime4!I24))</f>
        <v>0.78279825604439146</v>
      </c>
      <c r="T24" s="4">
        <f>AVERAGE(ParseTime(RunTime1!G24),ParseTime(RunTime2!G24),ParseTime(RunTime3!G24),ParseTime(RunTime4!G24))
/
AVERAGE(ParseTime(RunTime1!J24),ParseTime(RunTime2!J24),ParseTime(RunTime3!J24),ParseTime(RunTime4!J24))</f>
        <v>0.72565616797900268</v>
      </c>
      <c r="U24" t="s">
        <v>296</v>
      </c>
    </row>
    <row r="25" spans="1:21" x14ac:dyDescent="0.25">
      <c r="A25" t="s">
        <v>294</v>
      </c>
      <c r="B25" t="s">
        <v>150</v>
      </c>
      <c r="C25" t="s">
        <v>19</v>
      </c>
      <c r="D25" s="1">
        <v>191991</v>
      </c>
      <c r="E25">
        <v>2</v>
      </c>
      <c r="F25" t="s">
        <v>571</v>
      </c>
      <c r="G25" t="s">
        <v>649</v>
      </c>
      <c r="H25" t="s">
        <v>650</v>
      </c>
      <c r="I25" t="s">
        <v>1165</v>
      </c>
      <c r="J25" t="s">
        <v>1209</v>
      </c>
      <c r="K25" t="s">
        <v>621</v>
      </c>
      <c r="L25" t="s">
        <v>112</v>
      </c>
      <c r="M25" t="s">
        <v>471</v>
      </c>
      <c r="N25" t="s">
        <v>1231</v>
      </c>
      <c r="O25" s="4">
        <f>AVERAGE(ParseTime(RunTime1!F25),ParseTime(RunTime2!F25),ParseTime(RunTime3!F25),ParseTime(RunTime4!F25))
/
AVERAGE(ParseTime(RunTime1!J25),ParseTime(RunTime2!J25),ParseTime(RunTime3!J25),ParseTime(RunTime4!J25))</f>
        <v>1.2797565374211</v>
      </c>
      <c r="P25" s="4">
        <f>AVERAGE(ParseTime(RunTime1!F25),ParseTime(RunTime2!F25),ParseTime(RunTime3!F25),ParseTime(RunTime4!F25))
/
AVERAGE(ParseTime(RunTime1!I25),ParseTime(RunTime2!I25),ParseTime(RunTime3!I25),ParseTime(RunTime4!I25))</f>
        <v>1.6999550830962717</v>
      </c>
      <c r="Q25" s="4">
        <f>AVERAGE(ParseTime(RunTime1!H25),ParseTime(RunTime2!H25),ParseTime(RunTime3!H25),ParseTime(RunTime4!H25))
/
AVERAGE(ParseTime(RunTime1!J25),ParseTime(RunTime2!J25),ParseTime(RunTime3!J25),ParseTime(RunTime4!J25))</f>
        <v>0.81762849413886385</v>
      </c>
      <c r="R25" s="4">
        <f>AVERAGE(ParseTime(RunTime1!G25),ParseTime(RunTime2!G25),ParseTime(RunTime3!G25),ParseTime(RunTime4!G25))
/
AVERAGE(ParseTime(RunTime1!I25),ParseTime(RunTime2!I25),ParseTime(RunTime3!I25),ParseTime(RunTime4!I25))</f>
        <v>0.70811498727354405</v>
      </c>
      <c r="S25" s="4">
        <f>AVERAGE(ParseTime(RunTime1!H25),ParseTime(RunTime2!H25),ParseTime(RunTime3!H25),ParseTime(RunTime4!H25))
/
AVERAGE(ParseTime(RunTime1!I25),ParseTime(RunTime2!I25),ParseTime(RunTime3!I25),ParseTime(RunTime4!I25))</f>
        <v>1.0860907321455309</v>
      </c>
      <c r="T25" s="4">
        <f>AVERAGE(ParseTime(RunTime1!G25),ParseTime(RunTime2!G25),ParseTime(RunTime3!G25),ParseTime(RunTime4!G25))
/
AVERAGE(ParseTime(RunTime1!J25),ParseTime(RunTime2!J25),ParseTime(RunTime3!J25),ParseTime(RunTime4!J25))</f>
        <v>0.53308160504959434</v>
      </c>
      <c r="U25" t="s">
        <v>18</v>
      </c>
    </row>
    <row r="26" spans="1:21" x14ac:dyDescent="0.25">
      <c r="A26" t="s">
        <v>294</v>
      </c>
      <c r="B26" t="s">
        <v>162</v>
      </c>
      <c r="C26" t="s">
        <v>11</v>
      </c>
      <c r="D26" s="1">
        <v>159967</v>
      </c>
      <c r="E26">
        <v>2</v>
      </c>
      <c r="F26" t="s">
        <v>651</v>
      </c>
      <c r="G26" t="s">
        <v>652</v>
      </c>
      <c r="H26" t="s">
        <v>653</v>
      </c>
      <c r="I26" t="s">
        <v>1169</v>
      </c>
      <c r="J26" t="s">
        <v>1210</v>
      </c>
      <c r="K26" t="s">
        <v>369</v>
      </c>
      <c r="L26" t="s">
        <v>654</v>
      </c>
      <c r="M26" t="s">
        <v>655</v>
      </c>
      <c r="N26" t="s">
        <v>178</v>
      </c>
      <c r="O26" s="4">
        <f>AVERAGE(ParseTime(RunTime1!F26),ParseTime(RunTime2!F26),ParseTime(RunTime3!F26),ParseTime(RunTime4!F26))
/
AVERAGE(ParseTime(RunTime1!J26),ParseTime(RunTime2!J26),ParseTime(RunTime3!J26),ParseTime(RunTime4!J26))</f>
        <v>162.23421854592948</v>
      </c>
      <c r="P26" s="4">
        <f>AVERAGE(ParseTime(RunTime1!F26),ParseTime(RunTime2!F26),ParseTime(RunTime3!F26),ParseTime(RunTime4!F26))
/
AVERAGE(ParseTime(RunTime1!I26),ParseTime(RunTime2!I26),ParseTime(RunTime3!I26),ParseTime(RunTime4!I26))</f>
        <v>190.56609562771672</v>
      </c>
      <c r="Q26" s="4">
        <f>AVERAGE(ParseTime(RunTime1!H26),ParseTime(RunTime2!H26),ParseTime(RunTime3!H26),ParseTime(RunTime4!H26))
/
AVERAGE(ParseTime(RunTime1!J26),ParseTime(RunTime2!J26),ParseTime(RunTime3!J26),ParseTime(RunTime4!J26))</f>
        <v>0.9254099550137862</v>
      </c>
      <c r="R26" s="4">
        <f>AVERAGE(ParseTime(RunTime1!G26),ParseTime(RunTime2!G26),ParseTime(RunTime3!G26),ParseTime(RunTime4!G26))
/
AVERAGE(ParseTime(RunTime1!I26),ParseTime(RunTime2!I26),ParseTime(RunTime3!I26),ParseTime(RunTime4!I26))</f>
        <v>0.75087360436376038</v>
      </c>
      <c r="S26" s="4">
        <f>AVERAGE(ParseTime(RunTime1!H26),ParseTime(RunTime2!H26),ParseTime(RunTime3!H26),ParseTime(RunTime4!H26))
/
AVERAGE(ParseTime(RunTime1!I26),ParseTime(RunTime2!I26),ParseTime(RunTime3!I26),ParseTime(RunTime4!I26))</f>
        <v>1.087019517599932</v>
      </c>
      <c r="T26" s="4">
        <f>AVERAGE(ParseTime(RunTime1!G26),ParseTime(RunTime2!G26),ParseTime(RunTime3!G26),ParseTime(RunTime4!G26))
/
AVERAGE(ParseTime(RunTime1!J26),ParseTime(RunTime2!J26),ParseTime(RunTime3!J26),ParseTime(RunTime4!J26))</f>
        <v>0.63923958786823398</v>
      </c>
      <c r="U26" t="s">
        <v>18</v>
      </c>
    </row>
    <row r="27" spans="1:21" x14ac:dyDescent="0.25">
      <c r="A27" t="s">
        <v>294</v>
      </c>
      <c r="B27" t="s">
        <v>162</v>
      </c>
      <c r="C27" t="s">
        <v>19</v>
      </c>
      <c r="D27" s="1">
        <v>159427</v>
      </c>
      <c r="E27">
        <v>2</v>
      </c>
      <c r="F27" t="s">
        <v>656</v>
      </c>
      <c r="G27" t="s">
        <v>657</v>
      </c>
      <c r="H27" t="s">
        <v>658</v>
      </c>
      <c r="I27" t="s">
        <v>1170</v>
      </c>
      <c r="J27" t="s">
        <v>1123</v>
      </c>
      <c r="K27" t="s">
        <v>659</v>
      </c>
      <c r="L27" t="s">
        <v>660</v>
      </c>
      <c r="M27" t="s">
        <v>661</v>
      </c>
      <c r="N27" t="s">
        <v>98</v>
      </c>
      <c r="O27" s="4">
        <f>AVERAGE(ParseTime(RunTime1!F27),ParseTime(RunTime2!F27),ParseTime(RunTime3!F27),ParseTime(RunTime4!F27))
/
AVERAGE(ParseTime(RunTime1!J27),ParseTime(RunTime2!J27),ParseTime(RunTime3!J27),ParseTime(RunTime4!J27))</f>
        <v>186.04765419947506</v>
      </c>
      <c r="P27" s="4">
        <f>AVERAGE(ParseTime(RunTime1!F27),ParseTime(RunTime2!F27),ParseTime(RunTime3!F27),ParseTime(RunTime4!F27))
/
AVERAGE(ParseTime(RunTime1!I27),ParseTime(RunTime2!I27),ParseTime(RunTime3!I27),ParseTime(RunTime4!I27))</f>
        <v>191.01414736842105</v>
      </c>
      <c r="Q27" s="4">
        <f>AVERAGE(ParseTime(RunTime1!H27),ParseTime(RunTime2!H27),ParseTime(RunTime3!H27),ParseTime(RunTime4!H27))
/
AVERAGE(ParseTime(RunTime1!J27),ParseTime(RunTime2!J27),ParseTime(RunTime3!J27),ParseTime(RunTime4!J27))</f>
        <v>1.3914041994750654</v>
      </c>
      <c r="R27" s="4">
        <f>AVERAGE(ParseTime(RunTime1!G27),ParseTime(RunTime2!G27),ParseTime(RunTime3!G27),ParseTime(RunTime4!G27))
/
AVERAGE(ParseTime(RunTime1!I27),ParseTime(RunTime2!I27),ParseTime(RunTime3!I27),ParseTime(RunTime4!I27))</f>
        <v>0.6266947368421053</v>
      </c>
      <c r="S27" s="4">
        <f>AVERAGE(ParseTime(RunTime1!H27),ParseTime(RunTime2!H27),ParseTime(RunTime3!H27),ParseTime(RunTime4!H27))
/
AVERAGE(ParseTime(RunTime1!I27),ParseTime(RunTime2!I27),ParseTime(RunTime3!I27),ParseTime(RunTime4!I27))</f>
        <v>1.4285473684210526</v>
      </c>
      <c r="T27" s="4">
        <f>AVERAGE(ParseTime(RunTime1!G27),ParseTime(RunTime2!G27),ParseTime(RunTime3!G27),ParseTime(RunTime4!G27))
/
AVERAGE(ParseTime(RunTime1!J27),ParseTime(RunTime2!J27),ParseTime(RunTime3!J27),ParseTime(RunTime4!J27))</f>
        <v>0.61040026246719159</v>
      </c>
      <c r="U27" t="s">
        <v>18</v>
      </c>
    </row>
    <row r="28" spans="1:21" x14ac:dyDescent="0.25">
      <c r="A28" t="s">
        <v>294</v>
      </c>
      <c r="B28" t="s">
        <v>174</v>
      </c>
      <c r="C28" t="s">
        <v>11</v>
      </c>
      <c r="D28" s="1">
        <v>128463</v>
      </c>
      <c r="E28">
        <v>2</v>
      </c>
      <c r="F28" t="s">
        <v>662</v>
      </c>
      <c r="G28" t="s">
        <v>663</v>
      </c>
      <c r="H28" t="s">
        <v>664</v>
      </c>
      <c r="I28" t="s">
        <v>1171</v>
      </c>
      <c r="J28" t="s">
        <v>1211</v>
      </c>
      <c r="K28" t="s">
        <v>665</v>
      </c>
      <c r="L28" t="s">
        <v>666</v>
      </c>
      <c r="M28" t="s">
        <v>667</v>
      </c>
      <c r="N28" t="s">
        <v>113</v>
      </c>
      <c r="O28" s="4">
        <f>AVERAGE(ParseTime(RunTime1!F28),ParseTime(RunTime2!F28),ParseTime(RunTime3!F28),ParseTime(RunTime4!F28))
/
AVERAGE(ParseTime(RunTime1!J28),ParseTime(RunTime2!J28),ParseTime(RunTime3!J28),ParseTime(RunTime4!J28))</f>
        <v>191.62394833007565</v>
      </c>
      <c r="P28" s="4">
        <f>AVERAGE(ParseTime(RunTime1!F28),ParseTime(RunTime2!F28),ParseTime(RunTime3!F28),ParseTime(RunTime4!F28))
/
AVERAGE(ParseTime(RunTime1!I28),ParseTime(RunTime2!I28),ParseTime(RunTime3!I28),ParseTime(RunTime4!I28))</f>
        <v>169.70264167983746</v>
      </c>
      <c r="Q28" s="4">
        <f>AVERAGE(ParseTime(RunTime1!H28),ParseTime(RunTime2!H28),ParseTime(RunTime3!H28),ParseTime(RunTime4!H28))
/
AVERAGE(ParseTime(RunTime1!J28),ParseTime(RunTime2!J28),ParseTime(RunTime3!J28),ParseTime(RunTime4!J28))</f>
        <v>0.97441998810232022</v>
      </c>
      <c r="R28" s="4">
        <f>AVERAGE(ParseTime(RunTime1!G28),ParseTime(RunTime2!G28),ParseTime(RunTime3!G28),ParseTime(RunTime4!G28))
/
AVERAGE(ParseTime(RunTime1!I28),ParseTime(RunTime2!I28),ParseTime(RunTime3!I28),ParseTime(RunTime4!I28))</f>
        <v>0.70512531045382709</v>
      </c>
      <c r="S28" s="4">
        <f>AVERAGE(ParseTime(RunTime1!H28),ParseTime(RunTime2!H28),ParseTime(RunTime3!H28),ParseTime(RunTime4!H28))
/
AVERAGE(ParseTime(RunTime1!I28),ParseTime(RunTime2!I28),ParseTime(RunTime3!I28),ParseTime(RunTime4!I28))</f>
        <v>0.86294874689546186</v>
      </c>
      <c r="T28" s="4">
        <f>AVERAGE(ParseTime(RunTime1!G28),ParseTime(RunTime2!G28),ParseTime(RunTime3!G28),ParseTime(RunTime4!G28))
/
AVERAGE(ParseTime(RunTime1!J28),ParseTime(RunTime2!J28),ParseTime(RunTime3!J28),ParseTime(RunTime4!J28))</f>
        <v>0.79620973910087534</v>
      </c>
      <c r="U28" t="s">
        <v>18</v>
      </c>
    </row>
    <row r="29" spans="1:21" x14ac:dyDescent="0.25">
      <c r="A29" t="s">
        <v>294</v>
      </c>
      <c r="B29" t="s">
        <v>174</v>
      </c>
      <c r="C29" t="s">
        <v>19</v>
      </c>
      <c r="D29" s="1">
        <v>128992</v>
      </c>
      <c r="E29">
        <v>2</v>
      </c>
      <c r="F29" t="s">
        <v>668</v>
      </c>
      <c r="G29" t="s">
        <v>669</v>
      </c>
      <c r="H29" t="s">
        <v>670</v>
      </c>
      <c r="I29" t="s">
        <v>1172</v>
      </c>
      <c r="J29" t="s">
        <v>1212</v>
      </c>
      <c r="K29" t="s">
        <v>671</v>
      </c>
      <c r="L29" t="s">
        <v>672</v>
      </c>
      <c r="M29" t="s">
        <v>673</v>
      </c>
      <c r="N29" t="s">
        <v>131</v>
      </c>
      <c r="O29" s="4">
        <f>AVERAGE(ParseTime(RunTime1!F29),ParseTime(RunTime2!F29),ParseTime(RunTime3!F29),ParseTime(RunTime4!F29))
/
AVERAGE(ParseTime(RunTime1!J29),ParseTime(RunTime2!J29),ParseTime(RunTime3!J29),ParseTime(RunTime4!J29))</f>
        <v>156.05231484647473</v>
      </c>
      <c r="P29" s="4">
        <f>AVERAGE(ParseTime(RunTime1!F29),ParseTime(RunTime2!F29),ParseTime(RunTime3!F29),ParseTime(RunTime4!F29))
/
AVERAGE(ParseTime(RunTime1!I29),ParseTime(RunTime2!I29),ParseTime(RunTime3!I29),ParseTime(RunTime4!I29))</f>
        <v>190.16274999999999</v>
      </c>
      <c r="Q29" s="4">
        <f>AVERAGE(ParseTime(RunTime1!H29),ParseTime(RunTime2!H29),ParseTime(RunTime3!H29),ParseTime(RunTime4!H29))
/
AVERAGE(ParseTime(RunTime1!J29),ParseTime(RunTime2!J29),ParseTime(RunTime3!J29),ParseTime(RunTime4!J29))</f>
        <v>0.48061273336524646</v>
      </c>
      <c r="R29" s="4">
        <f>AVERAGE(ParseTime(RunTime1!G29),ParseTime(RunTime2!G29),ParseTime(RunTime3!G29),ParseTime(RunTime4!G29))
/
AVERAGE(ParseTime(RunTime1!I29),ParseTime(RunTime2!I29),ParseTime(RunTime3!I29),ParseTime(RunTime4!I29))</f>
        <v>0.87608333333333333</v>
      </c>
      <c r="S29" s="4">
        <f>AVERAGE(ParseTime(RunTime1!H29),ParseTime(RunTime2!H29),ParseTime(RunTime3!H29),ParseTime(RunTime4!H29))
/
AVERAGE(ParseTime(RunTime1!I29),ParseTime(RunTime2!I29),ParseTime(RunTime3!I29),ParseTime(RunTime4!I29))</f>
        <v>0.58566666666666667</v>
      </c>
      <c r="T29" s="4">
        <f>AVERAGE(ParseTime(RunTime1!G29),ParseTime(RunTime2!G29),ParseTime(RunTime3!G29),ParseTime(RunTime4!G29))
/
AVERAGE(ParseTime(RunTime1!J29),ParseTime(RunTime2!J29),ParseTime(RunTime3!J29),ParseTime(RunTime4!J29))</f>
        <v>0.71893592286124597</v>
      </c>
      <c r="U29" t="s">
        <v>18</v>
      </c>
    </row>
    <row r="30" spans="1:21" x14ac:dyDescent="0.25">
      <c r="A30" t="s">
        <v>294</v>
      </c>
      <c r="B30" t="s">
        <v>187</v>
      </c>
      <c r="C30" t="s">
        <v>11</v>
      </c>
      <c r="D30" s="1">
        <v>123182</v>
      </c>
      <c r="E30">
        <v>2</v>
      </c>
      <c r="F30" t="s">
        <v>674</v>
      </c>
      <c r="G30" t="s">
        <v>675</v>
      </c>
      <c r="H30" t="s">
        <v>676</v>
      </c>
      <c r="I30" t="s">
        <v>1173</v>
      </c>
      <c r="J30" t="s">
        <v>1213</v>
      </c>
      <c r="K30" t="s">
        <v>370</v>
      </c>
      <c r="L30" t="s">
        <v>677</v>
      </c>
      <c r="M30" t="s">
        <v>678</v>
      </c>
      <c r="N30" t="s">
        <v>1145</v>
      </c>
      <c r="O30" s="4">
        <f>AVERAGE(ParseTime(RunTime1!F30),ParseTime(RunTime2!F30),ParseTime(RunTime3!F30),ParseTime(RunTime4!F30))
/
AVERAGE(ParseTime(RunTime1!J30),ParseTime(RunTime2!J30),ParseTime(RunTime3!J30),ParseTime(RunTime4!J30))</f>
        <v>218.40197986293259</v>
      </c>
      <c r="P30" s="4">
        <f>AVERAGE(ParseTime(RunTime1!F30),ParseTime(RunTime2!F30),ParseTime(RunTime3!F30),ParseTime(RunTime4!F30))
/
AVERAGE(ParseTime(RunTime1!I30),ParseTime(RunTime2!I30),ParseTime(RunTime3!I30),ParseTime(RunTime4!I30))</f>
        <v>234.7270164590343</v>
      </c>
      <c r="Q30" s="4">
        <f>AVERAGE(ParseTime(RunTime1!H30),ParseTime(RunTime2!H30),ParseTime(RunTime3!H30),ParseTime(RunTime4!H30))
/
AVERAGE(ParseTime(RunTime1!J30),ParseTime(RunTime2!J30),ParseTime(RunTime3!J30),ParseTime(RunTime4!J30))</f>
        <v>0.64210170065149341</v>
      </c>
      <c r="R30" s="4">
        <f>AVERAGE(ParseTime(RunTime1!G30),ParseTime(RunTime2!G30),ParseTime(RunTime3!G30),ParseTime(RunTime4!G30))
/
AVERAGE(ParseTime(RunTime1!I30),ParseTime(RunTime2!I30),ParseTime(RunTime3!I30),ParseTime(RunTime4!I30))</f>
        <v>1.0204601254887697</v>
      </c>
      <c r="S30" s="4">
        <f>AVERAGE(ParseTime(RunTime1!H30),ParseTime(RunTime2!H30),ParseTime(RunTime3!H30),ParseTime(RunTime4!H30))
/
AVERAGE(ParseTime(RunTime1!I30),ParseTime(RunTime2!I30),ParseTime(RunTime3!I30),ParseTime(RunTime4!I30))</f>
        <v>0.69009729926343555</v>
      </c>
      <c r="T30" s="4">
        <f>AVERAGE(ParseTime(RunTime1!G30),ParseTime(RunTime2!G30),ParseTime(RunTime3!G30),ParseTime(RunTime4!G30))
/
AVERAGE(ParseTime(RunTime1!J30),ParseTime(RunTime2!J30),ParseTime(RunTime3!J30),ParseTime(RunTime4!J30))</f>
        <v>0.94948811236145203</v>
      </c>
      <c r="U30" t="s">
        <v>18</v>
      </c>
    </row>
    <row r="31" spans="1:21" x14ac:dyDescent="0.25">
      <c r="A31" t="s">
        <v>294</v>
      </c>
      <c r="B31" t="s">
        <v>187</v>
      </c>
      <c r="C31" t="s">
        <v>19</v>
      </c>
      <c r="D31" s="1">
        <v>117982</v>
      </c>
      <c r="E31">
        <v>2</v>
      </c>
      <c r="F31" t="s">
        <v>679</v>
      </c>
      <c r="G31" t="s">
        <v>680</v>
      </c>
      <c r="H31" t="s">
        <v>681</v>
      </c>
      <c r="I31" t="s">
        <v>1174</v>
      </c>
      <c r="J31" t="s">
        <v>1214</v>
      </c>
      <c r="K31" t="s">
        <v>403</v>
      </c>
      <c r="L31" t="s">
        <v>682</v>
      </c>
      <c r="M31" t="s">
        <v>683</v>
      </c>
      <c r="N31" t="s">
        <v>98</v>
      </c>
      <c r="O31" s="4">
        <f>AVERAGE(ParseTime(RunTime1!F31),ParseTime(RunTime2!F31),ParseTime(RunTime3!F31),ParseTime(RunTime4!F31))
/
AVERAGE(ParseTime(RunTime1!J31),ParseTime(RunTime2!J31),ParseTime(RunTime3!J31),ParseTime(RunTime4!J31))</f>
        <v>222.00077246588276</v>
      </c>
      <c r="P31" s="4">
        <f>AVERAGE(ParseTime(RunTime1!F31),ParseTime(RunTime2!F31),ParseTime(RunTime3!F31),ParseTime(RunTime4!F31))
/
AVERAGE(ParseTime(RunTime1!I31),ParseTime(RunTime2!I31),ParseTime(RunTime3!I31),ParseTime(RunTime4!I31))</f>
        <v>213.76289256198348</v>
      </c>
      <c r="Q31" s="4">
        <f>AVERAGE(ParseTime(RunTime1!H31),ParseTime(RunTime2!H31),ParseTime(RunTime3!H31),ParseTime(RunTime4!H31))
/
AVERAGE(ParseTime(RunTime1!J31),ParseTime(RunTime2!J31),ParseTime(RunTime3!J31),ParseTime(RunTime4!J31))</f>
        <v>0.88095442451291728</v>
      </c>
      <c r="R31" s="4">
        <f>AVERAGE(ParseTime(RunTime1!G31),ParseTime(RunTime2!G31),ParseTime(RunTime3!G31),ParseTime(RunTime4!G31))
/
AVERAGE(ParseTime(RunTime1!I31),ParseTime(RunTime2!I31),ParseTime(RunTime3!I31),ParseTime(RunTime4!I31))</f>
        <v>0.79157024793388431</v>
      </c>
      <c r="S31" s="4">
        <f>AVERAGE(ParseTime(RunTime1!H31),ParseTime(RunTime2!H31),ParseTime(RunTime3!H31),ParseTime(RunTime4!H31))
/
AVERAGE(ParseTime(RunTime1!I31),ParseTime(RunTime2!I31),ParseTime(RunTime3!I31),ParseTime(RunTime4!I31))</f>
        <v>0.8482644628099173</v>
      </c>
      <c r="T31" s="4">
        <f>AVERAGE(ParseTime(RunTime1!G31),ParseTime(RunTime2!G31),ParseTime(RunTime3!G31),ParseTime(RunTime4!G31))
/
AVERAGE(ParseTime(RunTime1!J31),ParseTime(RunTime2!J31),ParseTime(RunTime3!J31),ParseTime(RunTime4!J31))</f>
        <v>0.82207535833834</v>
      </c>
      <c r="U31" t="s">
        <v>18</v>
      </c>
    </row>
    <row r="32" spans="1:21" x14ac:dyDescent="0.25">
      <c r="A32" t="s">
        <v>294</v>
      </c>
      <c r="B32" t="s">
        <v>200</v>
      </c>
      <c r="C32" t="s">
        <v>11</v>
      </c>
      <c r="D32" s="1">
        <v>124026</v>
      </c>
      <c r="E32">
        <v>2</v>
      </c>
      <c r="F32" t="s">
        <v>684</v>
      </c>
      <c r="G32" t="s">
        <v>685</v>
      </c>
      <c r="H32" t="s">
        <v>686</v>
      </c>
      <c r="I32" t="s">
        <v>1175</v>
      </c>
      <c r="J32" t="s">
        <v>1040</v>
      </c>
      <c r="K32" t="s">
        <v>217</v>
      </c>
      <c r="L32" t="s">
        <v>687</v>
      </c>
      <c r="M32" t="s">
        <v>688</v>
      </c>
      <c r="N32" t="s">
        <v>301</v>
      </c>
      <c r="O32" s="4">
        <f>AVERAGE(ParseTime(RunTime1!F32),ParseTime(RunTime2!F32),ParseTime(RunTime3!F32),ParseTime(RunTime4!F32))
/
AVERAGE(ParseTime(RunTime1!J32),ParseTime(RunTime2!J32),ParseTime(RunTime3!J32),ParseTime(RunTime4!J32))</f>
        <v>27.085853518704315</v>
      </c>
      <c r="P32" s="4">
        <f>AVERAGE(ParseTime(RunTime1!F32),ParseTime(RunTime2!F32),ParseTime(RunTime3!F32),ParseTime(RunTime4!F32))
/
AVERAGE(ParseTime(RunTime1!I32),ParseTime(RunTime2!I32),ParseTime(RunTime3!I32),ParseTime(RunTime4!I32))</f>
        <v>31.646654944318847</v>
      </c>
      <c r="Q32" s="4">
        <f>AVERAGE(ParseTime(RunTime1!H32),ParseTime(RunTime2!H32),ParseTime(RunTime3!H32),ParseTime(RunTime4!H32))
/
AVERAGE(ParseTime(RunTime1!J32),ParseTime(RunTime2!J32),ParseTime(RunTime3!J32),ParseTime(RunTime4!J32))</f>
        <v>0.42145621327218008</v>
      </c>
      <c r="R32" s="4">
        <f>AVERAGE(ParseTime(RunTime1!G32),ParseTime(RunTime2!G32),ParseTime(RunTime3!G32),ParseTime(RunTime4!G32))
/
AVERAGE(ParseTime(RunTime1!I32),ParseTime(RunTime2!I32),ParseTime(RunTime3!I32),ParseTime(RunTime4!I32))</f>
        <v>0.63870049401322959</v>
      </c>
      <c r="S32" s="4">
        <f>AVERAGE(ParseTime(RunTime1!H32),ParseTime(RunTime2!H32),ParseTime(RunTime3!H32),ParseTime(RunTime4!H32))
/
AVERAGE(ParseTime(RunTime1!I32),ParseTime(RunTime2!I32),ParseTime(RunTime3!I32),ParseTime(RunTime4!I32))</f>
        <v>0.49242233944570046</v>
      </c>
      <c r="T32" s="4">
        <f>AVERAGE(ParseTime(RunTime1!G32),ParseTime(RunTime2!G32),ParseTime(RunTime3!G32),ParseTime(RunTime4!G32))
/
AVERAGE(ParseTime(RunTime1!J32),ParseTime(RunTime2!J32),ParseTime(RunTime3!J32),ParseTime(RunTime4!J32))</f>
        <v>0.54665328937938951</v>
      </c>
      <c r="U32" t="s">
        <v>18</v>
      </c>
    </row>
    <row r="33" spans="1:21" x14ac:dyDescent="0.25">
      <c r="A33" t="s">
        <v>294</v>
      </c>
      <c r="B33" t="s">
        <v>200</v>
      </c>
      <c r="C33" t="s">
        <v>19</v>
      </c>
      <c r="D33" s="1">
        <v>122501</v>
      </c>
      <c r="E33">
        <v>2</v>
      </c>
      <c r="F33" t="s">
        <v>689</v>
      </c>
      <c r="G33" t="s">
        <v>690</v>
      </c>
      <c r="H33" t="s">
        <v>691</v>
      </c>
      <c r="I33" t="s">
        <v>1176</v>
      </c>
      <c r="J33" t="s">
        <v>1215</v>
      </c>
      <c r="K33" t="s">
        <v>638</v>
      </c>
      <c r="L33" t="s">
        <v>692</v>
      </c>
      <c r="M33" t="s">
        <v>693</v>
      </c>
      <c r="N33" t="s">
        <v>558</v>
      </c>
      <c r="O33" s="4">
        <f>AVERAGE(ParseTime(RunTime1!F33),ParseTime(RunTime2!F33),ParseTime(RunTime3!F33),ParseTime(RunTime4!F33))
/
AVERAGE(ParseTime(RunTime1!J33),ParseTime(RunTime2!J33),ParseTime(RunTime3!J33),ParseTime(RunTime4!J33))</f>
        <v>30.650068598176098</v>
      </c>
      <c r="P33" s="4">
        <f>AVERAGE(ParseTime(RunTime1!F33),ParseTime(RunTime2!F33),ParseTime(RunTime3!F33),ParseTime(RunTime4!F33))
/
AVERAGE(ParseTime(RunTime1!I33),ParseTime(RunTime2!I33),ParseTime(RunTime3!I33),ParseTime(RunTime4!I33))</f>
        <v>37.613647618104395</v>
      </c>
      <c r="Q33" s="4">
        <f>AVERAGE(ParseTime(RunTime1!H33),ParseTime(RunTime2!H33),ParseTime(RunTime3!H33),ParseTime(RunTime4!H33))
/
AVERAGE(ParseTime(RunTime1!J33),ParseTime(RunTime2!J33),ParseTime(RunTime3!J33),ParseTime(RunTime4!J33))</f>
        <v>0.5714631587442498</v>
      </c>
      <c r="R33" s="4">
        <f>AVERAGE(ParseTime(RunTime1!G33),ParseTime(RunTime2!G33),ParseTime(RunTime3!G33),ParseTime(RunTime4!G33))
/
AVERAGE(ParseTime(RunTime1!I33),ParseTime(RunTime2!I33),ParseTime(RunTime3!I33),ParseTime(RunTime4!I33))</f>
        <v>0.7834010102010498</v>
      </c>
      <c r="S33" s="4">
        <f>AVERAGE(ParseTime(RunTime1!H33),ParseTime(RunTime2!H33),ParseTime(RunTime3!H33),ParseTime(RunTime4!H33))
/
AVERAGE(ParseTime(RunTime1!I33),ParseTime(RunTime2!I33),ParseTime(RunTime3!I33),ParseTime(RunTime4!I33))</f>
        <v>0.70129741507378429</v>
      </c>
      <c r="T33" s="4">
        <f>AVERAGE(ParseTime(RunTime1!G33),ParseTime(RunTime2!G33),ParseTime(RunTime3!G33),ParseTime(RunTime4!G33))
/
AVERAGE(ParseTime(RunTime1!J33),ParseTime(RunTime2!J33),ParseTime(RunTime3!J33),ParseTime(RunTime4!J33))</f>
        <v>0.63836655637155992</v>
      </c>
      <c r="U33" t="s">
        <v>18</v>
      </c>
    </row>
    <row r="34" spans="1:21" x14ac:dyDescent="0.25">
      <c r="A34" t="s">
        <v>294</v>
      </c>
      <c r="B34" t="s">
        <v>213</v>
      </c>
      <c r="C34" t="s">
        <v>11</v>
      </c>
      <c r="D34" s="1">
        <v>116275</v>
      </c>
      <c r="E34">
        <v>2</v>
      </c>
      <c r="F34" t="s">
        <v>694</v>
      </c>
      <c r="G34" t="s">
        <v>695</v>
      </c>
      <c r="H34" t="s">
        <v>696</v>
      </c>
      <c r="I34" t="s">
        <v>1177</v>
      </c>
      <c r="J34" t="s">
        <v>1216</v>
      </c>
      <c r="K34" t="s">
        <v>513</v>
      </c>
      <c r="L34" t="s">
        <v>697</v>
      </c>
      <c r="M34" t="s">
        <v>698</v>
      </c>
      <c r="N34" t="s">
        <v>245</v>
      </c>
      <c r="O34" s="4">
        <f>AVERAGE(ParseTime(RunTime1!F34),ParseTime(RunTime2!F34),ParseTime(RunTime3!F34),ParseTime(RunTime4!F34))
/
AVERAGE(ParseTime(RunTime1!J34),ParseTime(RunTime2!J34),ParseTime(RunTime3!J34),ParseTime(RunTime4!J34))</f>
        <v>1.9758671226184661</v>
      </c>
      <c r="P34" s="4">
        <f>AVERAGE(ParseTime(RunTime1!F34),ParseTime(RunTime2!F34),ParseTime(RunTime3!F34),ParseTime(RunTime4!F34))
/
AVERAGE(ParseTime(RunTime1!I34),ParseTime(RunTime2!I34),ParseTime(RunTime3!I34),ParseTime(RunTime4!I34))</f>
        <v>2.0743666017027387</v>
      </c>
      <c r="Q34" s="4">
        <f>AVERAGE(ParseTime(RunTime1!H34),ParseTime(RunTime2!H34),ParseTime(RunTime3!H34),ParseTime(RunTime4!H34))
/
AVERAGE(ParseTime(RunTime1!J34),ParseTime(RunTime2!J34),ParseTime(RunTime3!J34),ParseTime(RunTime4!J34))</f>
        <v>0.69653150952613585</v>
      </c>
      <c r="R34" s="4">
        <f>AVERAGE(ParseTime(RunTime1!G34),ParseTime(RunTime2!G34),ParseTime(RunTime3!G34),ParseTime(RunTime4!G34))
/
AVERAGE(ParseTime(RunTime1!I34),ParseTime(RunTime2!I34),ParseTime(RunTime3!I34),ParseTime(RunTime4!I34))</f>
        <v>0.80705713406503232</v>
      </c>
      <c r="S34" s="4">
        <f>AVERAGE(ParseTime(RunTime1!H34),ParseTime(RunTime2!H34),ParseTime(RunTime3!H34),ParseTime(RunTime4!H34))
/
AVERAGE(ParseTime(RunTime1!I34),ParseTime(RunTime2!I34),ParseTime(RunTime3!I34),ParseTime(RunTime4!I34))</f>
        <v>0.73125448763975798</v>
      </c>
      <c r="T34" s="4">
        <f>AVERAGE(ParseTime(RunTime1!G34),ParseTime(RunTime2!G34),ParseTime(RunTime3!G34),ParseTime(RunTime4!G34))
/
AVERAGE(ParseTime(RunTime1!J34),ParseTime(RunTime2!J34),ParseTime(RunTime3!J34),ParseTime(RunTime4!J34))</f>
        <v>0.76873473375671708</v>
      </c>
      <c r="U34" t="s">
        <v>18</v>
      </c>
    </row>
    <row r="35" spans="1:21" x14ac:dyDescent="0.25">
      <c r="A35" t="s">
        <v>294</v>
      </c>
      <c r="B35" t="s">
        <v>213</v>
      </c>
      <c r="C35" t="s">
        <v>19</v>
      </c>
      <c r="D35" s="1">
        <v>108110</v>
      </c>
      <c r="E35">
        <v>2</v>
      </c>
      <c r="F35" t="s">
        <v>699</v>
      </c>
      <c r="G35" t="s">
        <v>700</v>
      </c>
      <c r="H35" t="s">
        <v>701</v>
      </c>
      <c r="I35" t="s">
        <v>1178</v>
      </c>
      <c r="J35" t="s">
        <v>1217</v>
      </c>
      <c r="K35" t="s">
        <v>347</v>
      </c>
      <c r="L35" t="s">
        <v>702</v>
      </c>
      <c r="M35" t="s">
        <v>133</v>
      </c>
      <c r="N35" t="s">
        <v>646</v>
      </c>
      <c r="O35" s="4">
        <f>AVERAGE(ParseTime(RunTime1!F35),ParseTime(RunTime2!F35),ParseTime(RunTime3!F35),ParseTime(RunTime4!F35))
/
AVERAGE(ParseTime(RunTime1!J35),ParseTime(RunTime2!J35),ParseTime(RunTime3!J35),ParseTime(RunTime4!J35))</f>
        <v>1.7929200598304804</v>
      </c>
      <c r="P35" s="4">
        <f>AVERAGE(ParseTime(RunTime1!F35),ParseTime(RunTime2!F35),ParseTime(RunTime3!F35),ParseTime(RunTime4!F35))
/
AVERAGE(ParseTime(RunTime1!I35),ParseTime(RunTime2!I35),ParseTime(RunTime3!I35),ParseTime(RunTime4!I35))</f>
        <v>1.8360990553995407</v>
      </c>
      <c r="Q35" s="4">
        <f>AVERAGE(ParseTime(RunTime1!H35),ParseTime(RunTime2!H35),ParseTime(RunTime3!H35),ParseTime(RunTime4!H35))
/
AVERAGE(ParseTime(RunTime1!J35),ParseTime(RunTime2!J35),ParseTime(RunTime3!J35),ParseTime(RunTime4!J35))</f>
        <v>0.54852916735914903</v>
      </c>
      <c r="R35" s="4">
        <f>AVERAGE(ParseTime(RunTime1!G35),ParseTime(RunTime2!G35),ParseTime(RunTime3!G35),ParseTime(RunTime4!G35))
/
AVERAGE(ParseTime(RunTime1!I35),ParseTime(RunTime2!I35),ParseTime(RunTime3!I35),ParseTime(RunTime4!I35))</f>
        <v>0.51238192494255808</v>
      </c>
      <c r="S35" s="4">
        <f>AVERAGE(ParseTime(RunTime1!H35),ParseTime(RunTime2!H35),ParseTime(RunTime3!H35),ParseTime(RunTime4!H35))
/
AVERAGE(ParseTime(RunTime1!I35),ParseTime(RunTime2!I35),ParseTime(RunTime3!I35),ParseTime(RunTime4!I35))</f>
        <v>0.56173942643179298</v>
      </c>
      <c r="T35" s="4">
        <f>AVERAGE(ParseTime(RunTime1!G35),ParseTime(RunTime2!G35),ParseTime(RunTime3!G35),ParseTime(RunTime4!G35))
/
AVERAGE(ParseTime(RunTime1!J35),ParseTime(RunTime2!J35),ParseTime(RunTime3!J35),ParseTime(RunTime4!J35))</f>
        <v>0.50033239155725451</v>
      </c>
      <c r="U35" t="s">
        <v>18</v>
      </c>
    </row>
    <row r="36" spans="1:21" x14ac:dyDescent="0.25">
      <c r="A36" t="s">
        <v>294</v>
      </c>
      <c r="B36" t="s">
        <v>226</v>
      </c>
      <c r="C36" t="s">
        <v>11</v>
      </c>
      <c r="D36" s="1">
        <v>120233</v>
      </c>
      <c r="E36">
        <v>2</v>
      </c>
      <c r="F36" t="s">
        <v>703</v>
      </c>
      <c r="G36" t="s">
        <v>704</v>
      </c>
      <c r="H36" t="s">
        <v>705</v>
      </c>
      <c r="I36" t="s">
        <v>1179</v>
      </c>
      <c r="J36" t="s">
        <v>1218</v>
      </c>
      <c r="K36" t="s">
        <v>62</v>
      </c>
      <c r="L36" t="s">
        <v>336</v>
      </c>
      <c r="M36" t="s">
        <v>706</v>
      </c>
      <c r="N36" t="s">
        <v>777</v>
      </c>
      <c r="O36" s="4">
        <f>AVERAGE(ParseTime(RunTime1!F36),ParseTime(RunTime2!F36),ParseTime(RunTime3!F36),ParseTime(RunTime4!F36))
/
AVERAGE(ParseTime(RunTime1!J36),ParseTime(RunTime2!J36),ParseTime(RunTime3!J36),ParseTime(RunTime4!J36))</f>
        <v>1.6385116279069769</v>
      </c>
      <c r="P36" s="4">
        <f>AVERAGE(ParseTime(RunTime1!F36),ParseTime(RunTime2!F36),ParseTime(RunTime3!F36),ParseTime(RunTime4!F36))
/
AVERAGE(ParseTime(RunTime1!I36),ParseTime(RunTime2!I36),ParseTime(RunTime3!I36),ParseTime(RunTime4!I36))</f>
        <v>1.8712418995006905</v>
      </c>
      <c r="Q36" s="4">
        <f>AVERAGE(ParseTime(RunTime1!H36),ParseTime(RunTime2!H36),ParseTime(RunTime3!H36),ParseTime(RunTime4!H36))
/
AVERAGE(ParseTime(RunTime1!J36),ParseTime(RunTime2!J36),ParseTime(RunTime3!J36),ParseTime(RunTime4!J36))</f>
        <v>0.50427906976744186</v>
      </c>
      <c r="R36" s="4">
        <f>AVERAGE(ParseTime(RunTime1!G36),ParseTime(RunTime2!G36),ParseTime(RunTime3!G36),ParseTime(RunTime4!G36))
/
AVERAGE(ParseTime(RunTime1!I36),ParseTime(RunTime2!I36),ParseTime(RunTime3!I36),ParseTime(RunTime4!I36))</f>
        <v>0.86529268033570583</v>
      </c>
      <c r="S36" s="4">
        <f>AVERAGE(ParseTime(RunTime1!H36),ParseTime(RunTime2!H36),ParseTime(RunTime3!H36),ParseTime(RunTime4!H36))
/
AVERAGE(ParseTime(RunTime1!I36),ParseTime(RunTime2!I36),ParseTime(RunTime3!I36),ParseTime(RunTime4!I36))</f>
        <v>0.5759056623818124</v>
      </c>
      <c r="T36" s="4">
        <f>AVERAGE(ParseTime(RunTime1!G36),ParseTime(RunTime2!G36),ParseTime(RunTime3!G36),ParseTime(RunTime4!G36))
/
AVERAGE(ParseTime(RunTime1!J36),ParseTime(RunTime2!J36),ParseTime(RunTime3!J36),ParseTime(RunTime4!J36))</f>
        <v>0.75767441860465112</v>
      </c>
      <c r="U36" t="s">
        <v>18</v>
      </c>
    </row>
    <row r="37" spans="1:21" x14ac:dyDescent="0.25">
      <c r="A37" t="s">
        <v>294</v>
      </c>
      <c r="B37" t="s">
        <v>226</v>
      </c>
      <c r="C37" t="s">
        <v>19</v>
      </c>
      <c r="D37" s="1">
        <v>121425</v>
      </c>
      <c r="E37">
        <v>2</v>
      </c>
      <c r="F37" t="s">
        <v>707</v>
      </c>
      <c r="G37" t="s">
        <v>233</v>
      </c>
      <c r="H37" t="s">
        <v>708</v>
      </c>
      <c r="I37" t="s">
        <v>1180</v>
      </c>
      <c r="J37" t="s">
        <v>1219</v>
      </c>
      <c r="K37" t="s">
        <v>465</v>
      </c>
      <c r="L37" t="s">
        <v>709</v>
      </c>
      <c r="M37" t="s">
        <v>710</v>
      </c>
      <c r="N37" t="s">
        <v>268</v>
      </c>
      <c r="O37" s="4">
        <f>AVERAGE(ParseTime(RunTime1!F37),ParseTime(RunTime2!F37),ParseTime(RunTime3!F37),ParseTime(RunTime4!F37))
/
AVERAGE(ParseTime(RunTime1!J37),ParseTime(RunTime2!J37),ParseTime(RunTime3!J37),ParseTime(RunTime4!J37))</f>
        <v>1.6762295081967213</v>
      </c>
      <c r="P37" s="4">
        <f>AVERAGE(ParseTime(RunTime1!F37),ParseTime(RunTime2!F37),ParseTime(RunTime3!F37),ParseTime(RunTime4!F37))
/
AVERAGE(ParseTime(RunTime1!I37),ParseTime(RunTime2!I37),ParseTime(RunTime3!I37),ParseTime(RunTime4!I37))</f>
        <v>1.5912848944655187</v>
      </c>
      <c r="Q37" s="4">
        <f>AVERAGE(ParseTime(RunTime1!H37),ParseTime(RunTime2!H37),ParseTime(RunTime3!H37),ParseTime(RunTime4!H37))
/
AVERAGE(ParseTime(RunTime1!J37),ParseTime(RunTime2!J37),ParseTime(RunTime3!J37),ParseTime(RunTime4!J37))</f>
        <v>0.54682377049180331</v>
      </c>
      <c r="R37" s="4">
        <f>AVERAGE(ParseTime(RunTime1!G37),ParseTime(RunTime2!G37),ParseTime(RunTime3!G37),ParseTime(RunTime4!G37))
/
AVERAGE(ParseTime(RunTime1!I37),ParseTime(RunTime2!I37),ParseTime(RunTime3!I37),ParseTime(RunTime4!I37))</f>
        <v>0.51629218947573186</v>
      </c>
      <c r="S37" s="4">
        <f>AVERAGE(ParseTime(RunTime1!H37),ParseTime(RunTime2!H37),ParseTime(RunTime3!H37),ParseTime(RunTime4!H37))
/
AVERAGE(ParseTime(RunTime1!I37),ParseTime(RunTime2!I37),ParseTime(RunTime3!I37),ParseTime(RunTime4!I37))</f>
        <v>0.5191129267580975</v>
      </c>
      <c r="T37" s="4">
        <f>AVERAGE(ParseTime(RunTime1!G37),ParseTime(RunTime2!G37),ParseTime(RunTime3!G37),ParseTime(RunTime4!G37))
/
AVERAGE(ParseTime(RunTime1!J37),ParseTime(RunTime2!J37),ParseTime(RunTime3!J37),ParseTime(RunTime4!J37))</f>
        <v>0.54385245901639345</v>
      </c>
      <c r="U37" t="s">
        <v>18</v>
      </c>
    </row>
    <row r="38" spans="1:21" x14ac:dyDescent="0.25">
      <c r="A38" t="s">
        <v>294</v>
      </c>
      <c r="B38" t="s">
        <v>236</v>
      </c>
      <c r="C38" t="s">
        <v>11</v>
      </c>
      <c r="D38" s="1">
        <v>90920</v>
      </c>
      <c r="E38">
        <v>2</v>
      </c>
      <c r="F38" t="s">
        <v>711</v>
      </c>
      <c r="G38" t="s">
        <v>712</v>
      </c>
      <c r="H38" t="s">
        <v>713</v>
      </c>
      <c r="I38" t="s">
        <v>1181</v>
      </c>
      <c r="J38" t="s">
        <v>1220</v>
      </c>
      <c r="K38" t="s">
        <v>365</v>
      </c>
      <c r="L38" t="s">
        <v>714</v>
      </c>
      <c r="M38" t="s">
        <v>715</v>
      </c>
      <c r="N38" t="s">
        <v>73</v>
      </c>
      <c r="O38" s="4">
        <f>AVERAGE(ParseTime(RunTime1!F38),ParseTime(RunTime2!F38),ParseTime(RunTime3!F38),ParseTime(RunTime4!F38))
/
AVERAGE(ParseTime(RunTime1!J38),ParseTime(RunTime2!J38),ParseTime(RunTime3!J38),ParseTime(RunTime4!J38))</f>
        <v>3.4453968253968252</v>
      </c>
      <c r="P38" s="4">
        <f>AVERAGE(ParseTime(RunTime1!F38),ParseTime(RunTime2!F38),ParseTime(RunTime3!F38),ParseTime(RunTime4!F38))
/
AVERAGE(ParseTime(RunTime1!I38),ParseTime(RunTime2!I38),ParseTime(RunTime3!I38),ParseTime(RunTime4!I38))</f>
        <v>3.5846086094902563</v>
      </c>
      <c r="Q38" s="4">
        <f>AVERAGE(ParseTime(RunTime1!H38),ParseTime(RunTime2!H38),ParseTime(RunTime3!H38),ParseTime(RunTime4!H38))
/
AVERAGE(ParseTime(RunTime1!J38),ParseTime(RunTime2!J38),ParseTime(RunTime3!J38),ParseTime(RunTime4!J38))</f>
        <v>0.42603174603174604</v>
      </c>
      <c r="R38" s="4">
        <f>AVERAGE(ParseTime(RunTime1!G38),ParseTime(RunTime2!G38),ParseTime(RunTime3!G38),ParseTime(RunTime4!G38))
/
AVERAGE(ParseTime(RunTime1!I38),ParseTime(RunTime2!I38),ParseTime(RunTime3!I38),ParseTime(RunTime4!I38))</f>
        <v>0.6439502367059341</v>
      </c>
      <c r="S38" s="4">
        <f>AVERAGE(ParseTime(RunTime1!H38),ParseTime(RunTime2!H38),ParseTime(RunTime3!H38),ParseTime(RunTime4!H38))
/
AVERAGE(ParseTime(RunTime1!I38),ParseTime(RunTime2!I38),ParseTime(RunTime3!I38),ParseTime(RunTime4!I38))</f>
        <v>0.44324562369261256</v>
      </c>
      <c r="T38" s="4">
        <f>AVERAGE(ParseTime(RunTime1!G38),ParseTime(RunTime2!G38),ParseTime(RunTime3!G38),ParseTime(RunTime4!G38))
/
AVERAGE(ParseTime(RunTime1!J38),ParseTime(RunTime2!J38),ParseTime(RunTime3!J38),ParseTime(RunTime4!J38))</f>
        <v>0.6189417989417989</v>
      </c>
      <c r="U38" t="s">
        <v>18</v>
      </c>
    </row>
    <row r="39" spans="1:21" x14ac:dyDescent="0.25">
      <c r="A39" t="s">
        <v>294</v>
      </c>
      <c r="B39" t="s">
        <v>236</v>
      </c>
      <c r="C39" t="s">
        <v>19</v>
      </c>
      <c r="D39" s="1">
        <v>93414</v>
      </c>
      <c r="E39">
        <v>2</v>
      </c>
      <c r="F39" t="s">
        <v>716</v>
      </c>
      <c r="G39" t="s">
        <v>443</v>
      </c>
      <c r="H39" t="s">
        <v>717</v>
      </c>
      <c r="I39" t="s">
        <v>1182</v>
      </c>
      <c r="J39" t="s">
        <v>1221</v>
      </c>
      <c r="K39" t="s">
        <v>718</v>
      </c>
      <c r="L39" t="s">
        <v>719</v>
      </c>
      <c r="M39" t="s">
        <v>720</v>
      </c>
      <c r="N39" t="s">
        <v>465</v>
      </c>
      <c r="O39" s="4">
        <f>AVERAGE(ParseTime(RunTime1!F39),ParseTime(RunTime2!F39),ParseTime(RunTime3!F39),ParseTime(RunTime4!F39))
/
AVERAGE(ParseTime(RunTime1!J39),ParseTime(RunTime2!J39),ParseTime(RunTime3!J39),ParseTime(RunTime4!J39))</f>
        <v>4.7060074428495486</v>
      </c>
      <c r="P39" s="4">
        <f>AVERAGE(ParseTime(RunTime1!F39),ParseTime(RunTime2!F39),ParseTime(RunTime3!F39),ParseTime(RunTime4!F39))
/
AVERAGE(ParseTime(RunTime1!I39),ParseTime(RunTime2!I39),ParseTime(RunTime3!I39),ParseTime(RunTime4!I39))</f>
        <v>4.5429817808570698</v>
      </c>
      <c r="Q39" s="4">
        <f>AVERAGE(ParseTime(RunTime1!H39),ParseTime(RunTime2!H39),ParseTime(RunTime3!H39),ParseTime(RunTime4!H39))
/
AVERAGE(ParseTime(RunTime1!J39),ParseTime(RunTime2!J39),ParseTime(RunTime3!J39),ParseTime(RunTime4!J39))</f>
        <v>0.68806485911749071</v>
      </c>
      <c r="R39" s="4">
        <f>AVERAGE(ParseTime(RunTime1!G39),ParseTime(RunTime2!G39),ParseTime(RunTime3!G39),ParseTime(RunTime4!G39))
/
AVERAGE(ParseTime(RunTime1!I39),ParseTime(RunTime2!I39),ParseTime(RunTime3!I39),ParseTime(RunTime4!I39))</f>
        <v>0.61534513728509099</v>
      </c>
      <c r="S39" s="4">
        <f>AVERAGE(ParseTime(RunTime1!H39),ParseTime(RunTime2!H39),ParseTime(RunTime3!H39),ParseTime(RunTime4!H39))
/
AVERAGE(ParseTime(RunTime1!I39),ParseTime(RunTime2!I39),ParseTime(RunTime3!I39),ParseTime(RunTime4!I39))</f>
        <v>0.66422889402104168</v>
      </c>
      <c r="T39" s="4">
        <f>AVERAGE(ParseTime(RunTime1!G39),ParseTime(RunTime2!G39),ParseTime(RunTime3!G39),ParseTime(RunTime4!G39))
/
AVERAGE(ParseTime(RunTime1!J39),ParseTime(RunTime2!J39),ParseTime(RunTime3!J39),ParseTime(RunTime4!J39))</f>
        <v>0.63742690058479534</v>
      </c>
      <c r="U39" t="s">
        <v>18</v>
      </c>
    </row>
    <row r="40" spans="1:21" x14ac:dyDescent="0.25">
      <c r="A40" t="s">
        <v>294</v>
      </c>
      <c r="B40" t="s">
        <v>248</v>
      </c>
      <c r="C40" t="s">
        <v>11</v>
      </c>
      <c r="D40" s="1">
        <v>88866</v>
      </c>
      <c r="E40">
        <v>2</v>
      </c>
      <c r="F40" t="s">
        <v>721</v>
      </c>
      <c r="G40" t="s">
        <v>722</v>
      </c>
      <c r="H40" t="s">
        <v>723</v>
      </c>
      <c r="I40" t="s">
        <v>1183</v>
      </c>
      <c r="J40" t="s">
        <v>1222</v>
      </c>
      <c r="K40" t="s">
        <v>724</v>
      </c>
      <c r="L40" t="s">
        <v>54</v>
      </c>
      <c r="M40" t="s">
        <v>253</v>
      </c>
      <c r="N40" t="s">
        <v>548</v>
      </c>
      <c r="O40" s="4">
        <f>AVERAGE(ParseTime(RunTime1!F40),ParseTime(RunTime2!F40),ParseTime(RunTime3!F40),ParseTime(RunTime4!F40))
/
AVERAGE(ParseTime(RunTime1!J40),ParseTime(RunTime2!J40),ParseTime(RunTime3!J40),ParseTime(RunTime4!J40))</f>
        <v>1.4220714428257835</v>
      </c>
      <c r="P40" s="4">
        <f>AVERAGE(ParseTime(RunTime1!F40),ParseTime(RunTime2!F40),ParseTime(RunTime3!F40),ParseTime(RunTime4!F40))
/
AVERAGE(ParseTime(RunTime1!I40),ParseTime(RunTime2!I40),ParseTime(RunTime3!I40),ParseTime(RunTime4!I40))</f>
        <v>1.6064021641118127</v>
      </c>
      <c r="Q40" s="4">
        <f>AVERAGE(ParseTime(RunTime1!H40),ParseTime(RunTime2!H40),ParseTime(RunTime3!H40),ParseTime(RunTime4!H40))
/
AVERAGE(ParseTime(RunTime1!J40),ParseTime(RunTime2!J40),ParseTime(RunTime3!J40),ParseTime(RunTime4!J40))</f>
        <v>0.42107363799640785</v>
      </c>
      <c r="R40" s="4">
        <f>AVERAGE(ParseTime(RunTime1!G40),ParseTime(RunTime2!G40),ParseTime(RunTime3!G40),ParseTime(RunTime4!G40))
/
AVERAGE(ParseTime(RunTime1!I40),ParseTime(RunTime2!I40),ParseTime(RunTime3!I40),ParseTime(RunTime4!I40))</f>
        <v>0.72880973850315589</v>
      </c>
      <c r="S40" s="4">
        <f>AVERAGE(ParseTime(RunTime1!H40),ParseTime(RunTime2!H40),ParseTime(RunTime3!H40),ParseTime(RunTime4!H40))
/
AVERAGE(ParseTime(RunTime1!I40),ParseTime(RunTime2!I40),ParseTime(RunTime3!I40),ParseTime(RunTime4!I40))</f>
        <v>0.47565374211000899</v>
      </c>
      <c r="T40" s="4">
        <f>AVERAGE(ParseTime(RunTime1!G40),ParseTime(RunTime2!G40),ParseTime(RunTime3!G40),ParseTime(RunTime4!G40))
/
AVERAGE(ParseTime(RunTime1!J40),ParseTime(RunTime2!J40),ParseTime(RunTime3!J40),ParseTime(RunTime4!J40))</f>
        <v>0.64518060267411681</v>
      </c>
      <c r="U40" t="s">
        <v>18</v>
      </c>
    </row>
    <row r="41" spans="1:21" x14ac:dyDescent="0.25">
      <c r="A41" t="s">
        <v>294</v>
      </c>
      <c r="B41" t="s">
        <v>248</v>
      </c>
      <c r="C41" t="s">
        <v>19</v>
      </c>
      <c r="D41" s="1">
        <v>89795</v>
      </c>
      <c r="E41">
        <v>2</v>
      </c>
      <c r="F41" t="s">
        <v>725</v>
      </c>
      <c r="G41" t="s">
        <v>726</v>
      </c>
      <c r="H41" t="s">
        <v>727</v>
      </c>
      <c r="I41" t="s">
        <v>1184</v>
      </c>
      <c r="J41" t="s">
        <v>1223</v>
      </c>
      <c r="K41" t="s">
        <v>131</v>
      </c>
      <c r="L41" t="s">
        <v>728</v>
      </c>
      <c r="M41" t="s">
        <v>729</v>
      </c>
      <c r="N41" t="s">
        <v>30</v>
      </c>
      <c r="O41" s="4">
        <f>AVERAGE(ParseTime(RunTime1!F41),ParseTime(RunTime2!F41),ParseTime(RunTime3!F41),ParseTime(RunTime4!F41))
/
AVERAGE(ParseTime(RunTime1!J41),ParseTime(RunTime2!J41),ParseTime(RunTime3!J41),ParseTime(RunTime4!J41))</f>
        <v>1.5282239017477561</v>
      </c>
      <c r="P41" s="4">
        <f>AVERAGE(ParseTime(RunTime1!F41),ParseTime(RunTime2!F41),ParseTime(RunTime3!F41),ParseTime(RunTime4!F41))
/
AVERAGE(ParseTime(RunTime1!I41),ParseTime(RunTime2!I41),ParseTime(RunTime3!I41),ParseTime(RunTime4!I41))</f>
        <v>1.5802906337770177</v>
      </c>
      <c r="Q41" s="4">
        <f>AVERAGE(ParseTime(RunTime1!H41),ParseTime(RunTime2!H41),ParseTime(RunTime3!H41),ParseTime(RunTime4!H41))
/
AVERAGE(ParseTime(RunTime1!J41),ParseTime(RunTime2!J41),ParseTime(RunTime3!J41),ParseTime(RunTime4!J41))</f>
        <v>0.63793103448275867</v>
      </c>
      <c r="R41" s="4">
        <f>AVERAGE(ParseTime(RunTime1!G41),ParseTime(RunTime2!G41),ParseTime(RunTime3!G41),ParseTime(RunTime4!G41))
/
AVERAGE(ParseTime(RunTime1!I41),ParseTime(RunTime2!I41),ParseTime(RunTime3!I41),ParseTime(RunTime4!I41))</f>
        <v>0.64586640615459767</v>
      </c>
      <c r="S41" s="4">
        <f>AVERAGE(ParseTime(RunTime1!H41),ParseTime(RunTime2!H41),ParseTime(RunTime3!H41),ParseTime(RunTime4!H41))
/
AVERAGE(ParseTime(RunTime1!I41),ParseTime(RunTime2!I41),ParseTime(RunTime3!I41),ParseTime(RunTime4!I41))</f>
        <v>0.65966540481133229</v>
      </c>
      <c r="T41" s="4">
        <f>AVERAGE(ParseTime(RunTime1!G41),ParseTime(RunTime2!G41),ParseTime(RunTime3!G41),ParseTime(RunTime4!G41))
/
AVERAGE(ParseTime(RunTime1!J41),ParseTime(RunTime2!J41),ParseTime(RunTime3!J41),ParseTime(RunTime4!J41))</f>
        <v>0.62458667926310829</v>
      </c>
      <c r="U41" t="s">
        <v>18</v>
      </c>
    </row>
    <row r="42" spans="1:21" x14ac:dyDescent="0.25">
      <c r="A42" t="s">
        <v>294</v>
      </c>
      <c r="B42" t="s">
        <v>259</v>
      </c>
      <c r="C42" t="s">
        <v>11</v>
      </c>
      <c r="D42" s="1">
        <v>57485</v>
      </c>
      <c r="E42">
        <v>2</v>
      </c>
      <c r="F42" t="s">
        <v>730</v>
      </c>
      <c r="G42" t="s">
        <v>731</v>
      </c>
      <c r="H42" t="s">
        <v>732</v>
      </c>
      <c r="I42" t="s">
        <v>619</v>
      </c>
      <c r="J42" t="s">
        <v>1224</v>
      </c>
      <c r="K42" t="s">
        <v>733</v>
      </c>
      <c r="L42" t="s">
        <v>734</v>
      </c>
      <c r="M42" t="s">
        <v>735</v>
      </c>
      <c r="N42" t="s">
        <v>73</v>
      </c>
      <c r="O42" s="4">
        <f>AVERAGE(ParseTime(RunTime1!F42),ParseTime(RunTime2!F42),ParseTime(RunTime3!F42),ParseTime(RunTime4!F42))
/
AVERAGE(ParseTime(RunTime1!J42),ParseTime(RunTime2!J42),ParseTime(RunTime3!J42),ParseTime(RunTime4!J42))</f>
        <v>18.190366415918465</v>
      </c>
      <c r="P42" s="4">
        <f>AVERAGE(ParseTime(RunTime1!F42),ParseTime(RunTime2!F42),ParseTime(RunTime3!F42),ParseTime(RunTime4!F42))
/
AVERAGE(ParseTime(RunTime1!I42),ParseTime(RunTime2!I42),ParseTime(RunTime3!I42),ParseTime(RunTime4!I42))</f>
        <v>19.480899168399169</v>
      </c>
      <c r="Q42" s="4">
        <f>AVERAGE(ParseTime(RunTime1!H42),ParseTime(RunTime2!H42),ParseTime(RunTime3!H42),ParseTime(RunTime4!H42))
/
AVERAGE(ParseTime(RunTime1!J42),ParseTime(RunTime2!J42),ParseTime(RunTime3!J42),ParseTime(RunTime4!J42))</f>
        <v>0.33195826255763156</v>
      </c>
      <c r="R42" s="4">
        <f>AVERAGE(ParseTime(RunTime1!G42),ParseTime(RunTime2!G42),ParseTime(RunTime3!G42),ParseTime(RunTime4!G42))
/
AVERAGE(ParseTime(RunTime1!I42),ParseTime(RunTime2!I42),ParseTime(RunTime3!I42),ParseTime(RunTime4!I42))</f>
        <v>0.45854989604989604</v>
      </c>
      <c r="S42" s="4">
        <f>AVERAGE(ParseTime(RunTime1!H42),ParseTime(RunTime2!H42),ParseTime(RunTime3!H42),ParseTime(RunTime4!H42))
/
AVERAGE(ParseTime(RunTime1!I42),ParseTime(RunTime2!I42),ParseTime(RunTime3!I42),ParseTime(RunTime4!I42))</f>
        <v>0.35550935550935547</v>
      </c>
      <c r="T42" s="4">
        <f>AVERAGE(ParseTime(RunTime1!G42),ParseTime(RunTime2!G42),ParseTime(RunTime3!G42),ParseTime(RunTime4!G42))
/
AVERAGE(ParseTime(RunTime1!J42),ParseTime(RunTime2!J42),ParseTime(RunTime3!J42),ParseTime(RunTime4!J42))</f>
        <v>0.42817277359864103</v>
      </c>
      <c r="U42" t="s">
        <v>18</v>
      </c>
    </row>
    <row r="43" spans="1:21" x14ac:dyDescent="0.25">
      <c r="A43" t="s">
        <v>294</v>
      </c>
      <c r="B43" t="s">
        <v>259</v>
      </c>
      <c r="C43" t="s">
        <v>19</v>
      </c>
      <c r="D43" s="1">
        <v>58447</v>
      </c>
      <c r="E43">
        <v>2</v>
      </c>
      <c r="F43" t="s">
        <v>736</v>
      </c>
      <c r="G43" t="s">
        <v>737</v>
      </c>
      <c r="H43" t="s">
        <v>738</v>
      </c>
      <c r="I43" t="s">
        <v>1185</v>
      </c>
      <c r="J43" t="s">
        <v>1225</v>
      </c>
      <c r="K43" t="s">
        <v>113</v>
      </c>
      <c r="L43" t="s">
        <v>739</v>
      </c>
      <c r="M43" t="s">
        <v>740</v>
      </c>
      <c r="N43" t="s">
        <v>113</v>
      </c>
      <c r="O43" s="4">
        <f>AVERAGE(ParseTime(RunTime1!F43),ParseTime(RunTime2!F43),ParseTime(RunTime3!F43),ParseTime(RunTime4!F43))
/
AVERAGE(ParseTime(RunTime1!J43),ParseTime(RunTime2!J43),ParseTime(RunTime3!J43),ParseTime(RunTime4!J43))</f>
        <v>22.415350223546941</v>
      </c>
      <c r="P43" s="4">
        <f>AVERAGE(ParseTime(RunTime1!F43),ParseTime(RunTime2!F43),ParseTime(RunTime3!F43),ParseTime(RunTime4!F43))
/
AVERAGE(ParseTime(RunTime1!I43),ParseTime(RunTime2!I43),ParseTime(RunTime3!I43),ParseTime(RunTime4!I43))</f>
        <v>20.281418554476804</v>
      </c>
      <c r="Q43" s="4">
        <f>AVERAGE(ParseTime(RunTime1!H43),ParseTime(RunTime2!H43),ParseTime(RunTime3!H43),ParseTime(RunTime4!H43))
/
AVERAGE(ParseTime(RunTime1!J43),ParseTime(RunTime2!J43),ParseTime(RunTime3!J43),ParseTime(RunTime4!J43))</f>
        <v>0.48420268256333837</v>
      </c>
      <c r="R43" s="4">
        <f>AVERAGE(ParseTime(RunTime1!G43),ParseTime(RunTime2!G43),ParseTime(RunTime3!G43),ParseTime(RunTime4!G43))
/
AVERAGE(ParseTime(RunTime1!I43),ParseTime(RunTime2!I43),ParseTime(RunTime3!I43),ParseTime(RunTime4!I43))</f>
        <v>0.4924487594390507</v>
      </c>
      <c r="S43" s="4">
        <f>AVERAGE(ParseTime(RunTime1!H43),ParseTime(RunTime2!H43),ParseTime(RunTime3!H43),ParseTime(RunTime4!H43))
/
AVERAGE(ParseTime(RunTime1!I43),ParseTime(RunTime2!I43),ParseTime(RunTime3!I43),ParseTime(RunTime4!I43))</f>
        <v>0.43810679611650488</v>
      </c>
      <c r="T43" s="4">
        <f>AVERAGE(ParseTime(RunTime1!G43),ParseTime(RunTime2!G43),ParseTime(RunTime3!G43),ParseTime(RunTime4!G43))
/
AVERAGE(ParseTime(RunTime1!J43),ParseTime(RunTime2!J43),ParseTime(RunTime3!J43),ParseTime(RunTime4!J43))</f>
        <v>0.54426229508196722</v>
      </c>
      <c r="U43" t="s">
        <v>18</v>
      </c>
    </row>
    <row r="44" spans="1:21" x14ac:dyDescent="0.25">
      <c r="A44" t="s">
        <v>294</v>
      </c>
      <c r="B44" t="s">
        <v>271</v>
      </c>
      <c r="C44" t="s">
        <v>11</v>
      </c>
      <c r="D44" s="1">
        <v>55326</v>
      </c>
      <c r="E44">
        <v>2</v>
      </c>
      <c r="F44" t="s">
        <v>741</v>
      </c>
      <c r="G44" t="s">
        <v>742</v>
      </c>
      <c r="H44" t="s">
        <v>743</v>
      </c>
      <c r="I44" t="s">
        <v>1186</v>
      </c>
      <c r="J44" t="s">
        <v>1226</v>
      </c>
      <c r="K44" t="s">
        <v>504</v>
      </c>
      <c r="L44" t="s">
        <v>744</v>
      </c>
      <c r="M44" t="s">
        <v>745</v>
      </c>
      <c r="N44" t="s">
        <v>98</v>
      </c>
      <c r="O44" s="4">
        <f>AVERAGE(ParseTime(RunTime1!F44),ParseTime(RunTime2!F44),ParseTime(RunTime3!F44),ParseTime(RunTime4!F44))
/
AVERAGE(ParseTime(RunTime1!J44),ParseTime(RunTime2!J44),ParseTime(RunTime3!J44),ParseTime(RunTime4!J44))</f>
        <v>121.18074628936053</v>
      </c>
      <c r="P44" s="4">
        <f>AVERAGE(ParseTime(RunTime1!F44),ParseTime(RunTime2!F44),ParseTime(RunTime3!F44),ParseTime(RunTime4!F44))
/
AVERAGE(ParseTime(RunTime1!I44),ParseTime(RunTime2!I44),ParseTime(RunTime3!I44),ParseTime(RunTime4!I44))</f>
        <v>119.3105708822726</v>
      </c>
      <c r="Q44" s="4">
        <f>AVERAGE(ParseTime(RunTime1!H44),ParseTime(RunTime2!H44),ParseTime(RunTime3!H44),ParseTime(RunTime4!H44))
/
AVERAGE(ParseTime(RunTime1!J44),ParseTime(RunTime2!J44),ParseTime(RunTime3!J44),ParseTime(RunTime4!J44))</f>
        <v>0.53530309335552784</v>
      </c>
      <c r="R44" s="4">
        <f>AVERAGE(ParseTime(RunTime1!G44),ParseTime(RunTime2!G44),ParseTime(RunTime3!G44),ParseTime(RunTime4!G44))
/
AVERAGE(ParseTime(RunTime1!I44),ParseTime(RunTime2!I44),ParseTime(RunTime3!I44),ParseTime(RunTime4!I44))</f>
        <v>0.55217153783119366</v>
      </c>
      <c r="S44" s="4">
        <f>AVERAGE(ParseTime(RunTime1!H44),ParseTime(RunTime2!H44),ParseTime(RunTime3!H44),ParseTime(RunTime4!H44))
/
AVERAGE(ParseTime(RunTime1!I44),ParseTime(RunTime2!I44),ParseTime(RunTime3!I44),ParseTime(RunTime4!I44))</f>
        <v>0.52704179186014755</v>
      </c>
      <c r="T44" s="4">
        <f>AVERAGE(ParseTime(RunTime1!G44),ParseTime(RunTime2!G44),ParseTime(RunTime3!G44),ParseTime(RunTime4!G44))
/
AVERAGE(ParseTime(RunTime1!J44),ParseTime(RunTime2!J44),ParseTime(RunTime3!J44),ParseTime(RunTime4!J44))</f>
        <v>0.5608267443473437</v>
      </c>
      <c r="U44" t="s">
        <v>18</v>
      </c>
    </row>
    <row r="45" spans="1:21" x14ac:dyDescent="0.25">
      <c r="A45" t="s">
        <v>294</v>
      </c>
      <c r="B45" t="s">
        <v>271</v>
      </c>
      <c r="C45" t="s">
        <v>19</v>
      </c>
      <c r="D45" s="1">
        <v>55000</v>
      </c>
      <c r="E45">
        <v>2</v>
      </c>
      <c r="F45" t="s">
        <v>746</v>
      </c>
      <c r="G45" t="s">
        <v>747</v>
      </c>
      <c r="H45" t="s">
        <v>748</v>
      </c>
      <c r="I45" t="s">
        <v>1187</v>
      </c>
      <c r="J45" t="s">
        <v>1227</v>
      </c>
      <c r="K45" t="s">
        <v>131</v>
      </c>
      <c r="L45" t="s">
        <v>749</v>
      </c>
      <c r="M45" t="s">
        <v>750</v>
      </c>
      <c r="N45" t="s">
        <v>331</v>
      </c>
      <c r="O45" s="4">
        <f>AVERAGE(ParseTime(RunTime1!F45),ParseTime(RunTime2!F45),ParseTime(RunTime3!F45),ParseTime(RunTime4!F45))
/
AVERAGE(ParseTime(RunTime1!J45),ParseTime(RunTime2!J45),ParseTime(RunTime3!J45),ParseTime(RunTime4!J45))</f>
        <v>109.2887098836466</v>
      </c>
      <c r="P45" s="4">
        <f>AVERAGE(ParseTime(RunTime1!F45),ParseTime(RunTime2!F45),ParseTime(RunTime3!F45),ParseTime(RunTime4!F45))
/
AVERAGE(ParseTime(RunTime1!I45),ParseTime(RunTime2!I45),ParseTime(RunTime3!I45),ParseTime(RunTime4!I45))</f>
        <v>97.440378476972185</v>
      </c>
      <c r="Q45" s="4">
        <f>AVERAGE(ParseTime(RunTime1!H45),ParseTime(RunTime2!H45),ParseTime(RunTime3!H45),ParseTime(RunTime4!H45))
/
AVERAGE(ParseTime(RunTime1!J45),ParseTime(RunTime2!J45),ParseTime(RunTime3!J45),ParseTime(RunTime4!J45))</f>
        <v>0.4310190512722159</v>
      </c>
      <c r="R45" s="4">
        <f>AVERAGE(ParseTime(RunTime1!G45),ParseTime(RunTime2!G45),ParseTime(RunTime3!G45),ParseTime(RunTime4!G45))
/
AVERAGE(ParseTime(RunTime1!I45),ParseTime(RunTime2!I45),ParseTime(RunTime3!I45),ParseTime(RunTime4!I45))</f>
        <v>0.39215686274509803</v>
      </c>
      <c r="S45" s="4">
        <f>AVERAGE(ParseTime(RunTime1!H45),ParseTime(RunTime2!H45),ParseTime(RunTime3!H45),ParseTime(RunTime4!H45))
/
AVERAGE(ParseTime(RunTime1!I45),ParseTime(RunTime2!I45),ParseTime(RunTime3!I45),ParseTime(RunTime4!I45))</f>
        <v>0.38429092567259465</v>
      </c>
      <c r="T45" s="4">
        <f>AVERAGE(ParseTime(RunTime1!G45),ParseTime(RunTime2!G45),ParseTime(RunTime3!G45),ParseTime(RunTime4!G45))
/
AVERAGE(ParseTime(RunTime1!J45),ParseTime(RunTime2!J45),ParseTime(RunTime3!J45),ParseTime(RunTime4!J45))</f>
        <v>0.43984145249968037</v>
      </c>
      <c r="U45" t="s">
        <v>18</v>
      </c>
    </row>
    <row r="46" spans="1:21" x14ac:dyDescent="0.25">
      <c r="A46" t="s">
        <v>294</v>
      </c>
      <c r="B46" t="s">
        <v>283</v>
      </c>
      <c r="C46" t="s">
        <v>11</v>
      </c>
      <c r="D46" s="1">
        <v>90969</v>
      </c>
      <c r="E46">
        <v>1</v>
      </c>
      <c r="F46" t="s">
        <v>751</v>
      </c>
      <c r="G46" t="s">
        <v>752</v>
      </c>
      <c r="H46" t="s">
        <v>753</v>
      </c>
      <c r="I46" t="s">
        <v>1188</v>
      </c>
      <c r="J46" t="s">
        <v>1228</v>
      </c>
      <c r="K46" t="s">
        <v>754</v>
      </c>
      <c r="L46" t="s">
        <v>755</v>
      </c>
      <c r="M46" t="s">
        <v>756</v>
      </c>
      <c r="N46" t="s">
        <v>417</v>
      </c>
      <c r="O46" s="4">
        <f>AVERAGE(ParseTime(RunTime1!F46),ParseTime(RunTime2!F46),ParseTime(RunTime3!F46),ParseTime(RunTime4!F46))
/
AVERAGE(ParseTime(RunTime1!J46),ParseTime(RunTime2!J46),ParseTime(RunTime3!J46),ParseTime(RunTime4!J46))</f>
        <v>2.4405449237755432</v>
      </c>
      <c r="P46" s="4">
        <f>AVERAGE(ParseTime(RunTime1!F46),ParseTime(RunTime2!F46),ParseTime(RunTime3!F46),ParseTime(RunTime4!F46))
/
AVERAGE(ParseTime(RunTime1!I46),ParseTime(RunTime2!I46),ParseTime(RunTime3!I46),ParseTime(RunTime4!I46))</f>
        <v>2.9258827189298491</v>
      </c>
      <c r="Q46" s="4">
        <f>AVERAGE(ParseTime(RunTime1!H46),ParseTime(RunTime2!H46),ParseTime(RunTime3!H46),ParseTime(RunTime4!H46))
/
AVERAGE(ParseTime(RunTime1!J46),ParseTime(RunTime2!J46),ParseTime(RunTime3!J46),ParseTime(RunTime4!J46))</f>
        <v>0.67434317223483609</v>
      </c>
      <c r="R46" s="4">
        <f>AVERAGE(ParseTime(RunTime1!G46),ParseTime(RunTime2!G46),ParseTime(RunTime3!G46),ParseTime(RunTime4!G46))
/
AVERAGE(ParseTime(RunTime1!I46),ParseTime(RunTime2!I46),ParseTime(RunTime3!I46),ParseTime(RunTime4!I46))</f>
        <v>0.82827811479234714</v>
      </c>
      <c r="S46" s="4">
        <f>AVERAGE(ParseTime(RunTime1!H46),ParseTime(RunTime2!H46),ParseTime(RunTime3!H46),ParseTime(RunTime4!H46))
/
AVERAGE(ParseTime(RunTime1!I46),ParseTime(RunTime2!I46),ParseTime(RunTime3!I46),ParseTime(RunTime4!I46))</f>
        <v>0.80844610359309377</v>
      </c>
      <c r="T46" s="4">
        <f>AVERAGE(ParseTime(RunTime1!G46),ParseTime(RunTime2!G46),ParseTime(RunTime3!G46),ParseTime(RunTime4!G46))
/
AVERAGE(ParseTime(RunTime1!J46),ParseTime(RunTime2!J46),ParseTime(RunTime3!J46),ParseTime(RunTime4!J46))</f>
        <v>0.69088550113525782</v>
      </c>
      <c r="U46" t="s">
        <v>18</v>
      </c>
    </row>
    <row r="47" spans="1:21" x14ac:dyDescent="0.25">
      <c r="A47" t="s">
        <v>294</v>
      </c>
      <c r="B47" t="s">
        <v>283</v>
      </c>
      <c r="C47" t="s">
        <v>19</v>
      </c>
      <c r="D47" s="1">
        <v>127106</v>
      </c>
      <c r="E47">
        <v>2</v>
      </c>
      <c r="F47" t="s">
        <v>757</v>
      </c>
      <c r="G47" t="s">
        <v>758</v>
      </c>
      <c r="H47" t="s">
        <v>565</v>
      </c>
      <c r="I47" t="s">
        <v>1084</v>
      </c>
      <c r="J47" t="s">
        <v>1229</v>
      </c>
      <c r="K47" t="s">
        <v>759</v>
      </c>
      <c r="L47" t="s">
        <v>499</v>
      </c>
      <c r="M47" t="s">
        <v>760</v>
      </c>
      <c r="N47" t="s">
        <v>230</v>
      </c>
      <c r="O47" s="4">
        <f>AVERAGE(ParseTime(RunTime1!F47),ParseTime(RunTime2!F47),ParseTime(RunTime3!F47),ParseTime(RunTime4!F47))
/
AVERAGE(ParseTime(RunTime1!J47),ParseTime(RunTime2!J47),ParseTime(RunTime3!J47),ParseTime(RunTime4!J47))</f>
        <v>4.5500194881122527</v>
      </c>
      <c r="P47" s="4">
        <f>AVERAGE(ParseTime(RunTime1!F47),ParseTime(RunTime2!F47),ParseTime(RunTime3!F47),ParseTime(RunTime4!F47))
/
AVERAGE(ParseTime(RunTime1!I47),ParseTime(RunTime2!I47),ParseTime(RunTime3!I47),ParseTime(RunTime4!I47))</f>
        <v>4.2722171393717598</v>
      </c>
      <c r="Q47" s="4">
        <f>AVERAGE(ParseTime(RunTime1!H47),ParseTime(RunTime2!H47),ParseTime(RunTime3!H47),ParseTime(RunTime4!H47))
/
AVERAGE(ParseTime(RunTime1!J47),ParseTime(RunTime2!J47),ParseTime(RunTime3!J47),ParseTime(RunTime4!J47))</f>
        <v>1.2289203585812656</v>
      </c>
      <c r="R47" s="4">
        <f>AVERAGE(ParseTime(RunTime1!G47),ParseTime(RunTime2!G47),ParseTime(RunTime3!G47),ParseTime(RunTime4!G47))
/
AVERAGE(ParseTime(RunTime1!I47),ParseTime(RunTime2!I47),ParseTime(RunTime3!I47),ParseTime(RunTime4!I47))</f>
        <v>0.56078072583104599</v>
      </c>
      <c r="S47" s="4">
        <f>AVERAGE(ParseTime(RunTime1!H47),ParseTime(RunTime2!H47),ParseTime(RunTime3!H47),ParseTime(RunTime4!H47))
/
AVERAGE(ParseTime(RunTime1!I47),ParseTime(RunTime2!I47),ParseTime(RunTime3!I47),ParseTime(RunTime4!I47))</f>
        <v>1.1538883806038427</v>
      </c>
      <c r="T47" s="4">
        <f>AVERAGE(ParseTime(RunTime1!G47),ParseTime(RunTime2!G47),ParseTime(RunTime3!G47),ParseTime(RunTime4!G47))
/
AVERAGE(ParseTime(RunTime1!J47),ParseTime(RunTime2!J47),ParseTime(RunTime3!J47),ParseTime(RunTime4!J47))</f>
        <v>0.59724568013511758</v>
      </c>
      <c r="U4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A92D-9BF8-434E-A8C4-FBE51F82346C}">
  <sheetPr codeName="Sheet4"/>
  <dimension ref="A1:U47"/>
  <sheetViews>
    <sheetView topLeftCell="D1" workbookViewId="0">
      <selection activeCell="O6" sqref="O6"/>
    </sheetView>
  </sheetViews>
  <sheetFormatPr defaultRowHeight="15" x14ac:dyDescent="0.25"/>
  <cols>
    <col min="4" max="4" width="20.140625" customWidth="1"/>
  </cols>
  <sheetData>
    <row r="1" spans="1:21" x14ac:dyDescent="0.25">
      <c r="A1" t="s">
        <v>293</v>
      </c>
      <c r="B1" t="s">
        <v>0</v>
      </c>
      <c r="C1" t="s">
        <v>1</v>
      </c>
      <c r="D1" t="s">
        <v>295</v>
      </c>
      <c r="E1" t="s">
        <v>2</v>
      </c>
      <c r="F1" t="s">
        <v>3</v>
      </c>
      <c r="G1" t="s">
        <v>4</v>
      </c>
      <c r="H1" t="s">
        <v>5</v>
      </c>
      <c r="I1" t="s">
        <v>964</v>
      </c>
      <c r="J1" t="s">
        <v>1009</v>
      </c>
      <c r="K1" t="s">
        <v>6</v>
      </c>
      <c r="L1" t="s">
        <v>7</v>
      </c>
      <c r="M1" t="s">
        <v>8</v>
      </c>
      <c r="N1" t="s">
        <v>1054</v>
      </c>
      <c r="O1" t="s">
        <v>1322</v>
      </c>
      <c r="P1" t="s">
        <v>1317</v>
      </c>
      <c r="Q1" t="s">
        <v>1318</v>
      </c>
      <c r="R1" t="s">
        <v>1320</v>
      </c>
      <c r="S1" t="s">
        <v>1319</v>
      </c>
      <c r="T1" t="s">
        <v>1321</v>
      </c>
      <c r="U1" t="s">
        <v>9</v>
      </c>
    </row>
    <row r="2" spans="1:21" x14ac:dyDescent="0.25">
      <c r="A2" t="s">
        <v>294</v>
      </c>
      <c r="B2" t="s">
        <v>10</v>
      </c>
      <c r="C2" t="s">
        <v>11</v>
      </c>
      <c r="D2" s="1">
        <v>319247</v>
      </c>
      <c r="E2">
        <v>2</v>
      </c>
      <c r="F2" t="s">
        <v>761</v>
      </c>
      <c r="G2" t="s">
        <v>762</v>
      </c>
      <c r="H2" t="s">
        <v>763</v>
      </c>
      <c r="I2" t="s">
        <v>1232</v>
      </c>
      <c r="J2" t="s">
        <v>1273</v>
      </c>
      <c r="K2" t="s">
        <v>80</v>
      </c>
      <c r="L2" t="s">
        <v>764</v>
      </c>
      <c r="M2" t="s">
        <v>765</v>
      </c>
      <c r="N2" t="s">
        <v>184</v>
      </c>
      <c r="O2" s="4">
        <f>AVERAGE(ParseTime(RunTime1!F2),ParseTime(RunTime2!F2),ParseTime(RunTime3!F2),ParseTime(RunTime4!F2))
/
AVERAGE(ParseTime(RunTime1!J2),ParseTime(RunTime2!J2),ParseTime(RunTime3!J2),ParseTime(RunTime4!J2))</f>
        <v>140.80047407630371</v>
      </c>
      <c r="P2" s="4">
        <f>AVERAGE(ParseTime(RunTime1!F2),ParseTime(RunTime2!F2),ParseTime(RunTime3!F2),ParseTime(RunTime4!F2))
/
AVERAGE(ParseTime(RunTime1!I2),ParseTime(RunTime2!I2),ParseTime(RunTime3!I2),ParseTime(RunTime4!I2))</f>
        <v>150.16231290879176</v>
      </c>
      <c r="Q2" s="4">
        <f>AVERAGE(ParseTime(RunTime1!H2),ParseTime(RunTime2!H2),ParseTime(RunTime3!H2),ParseTime(RunTime4!H2))
/
AVERAGE(ParseTime(RunTime1!J2),ParseTime(RunTime2!J2),ParseTime(RunTime3!J2),ParseTime(RunTime4!J2))</f>
        <v>1.0387538565731056</v>
      </c>
      <c r="R2" s="4">
        <f>AVERAGE(ParseTime(RunTime1!G2),ParseTime(RunTime2!G2),ParseTime(RunTime3!G2),ParseTime(RunTime4!G2))
/
AVERAGE(ParseTime(RunTime1!I2),ParseTime(RunTime2!I2),ParseTime(RunTime3!I2),ParseTime(RunTime4!I2))</f>
        <v>1.0428152963364232</v>
      </c>
      <c r="S2" s="4">
        <f>AVERAGE(ParseTime(RunTime1!H2),ParseTime(RunTime2!H2),ParseTime(RunTime3!H2),ParseTime(RunTime4!H2))
/
AVERAGE(ParseTime(RunTime1!I2),ParseTime(RunTime2!I2),ParseTime(RunTime3!I2),ParseTime(RunTime4!I2))</f>
        <v>1.1078207134545162</v>
      </c>
      <c r="T2" s="4">
        <f>AVERAGE(ParseTime(RunTime1!G2),ParseTime(RunTime2!G2),ParseTime(RunTime3!G2),ParseTime(RunTime4!G2))
/
AVERAGE(ParseTime(RunTime1!J2),ParseTime(RunTime2!J2),ParseTime(RunTime3!J2),ParseTime(RunTime4!J2))</f>
        <v>0.97780118895326973</v>
      </c>
      <c r="U2" t="s">
        <v>18</v>
      </c>
    </row>
    <row r="3" spans="1:21" x14ac:dyDescent="0.25">
      <c r="A3" t="s">
        <v>294</v>
      </c>
      <c r="B3" t="s">
        <v>10</v>
      </c>
      <c r="C3" t="s">
        <v>19</v>
      </c>
      <c r="D3" s="1">
        <v>316061</v>
      </c>
      <c r="E3">
        <v>2</v>
      </c>
      <c r="F3" t="s">
        <v>766</v>
      </c>
      <c r="G3" t="s">
        <v>767</v>
      </c>
      <c r="H3" t="s">
        <v>768</v>
      </c>
      <c r="I3" t="s">
        <v>1233</v>
      </c>
      <c r="J3" t="s">
        <v>1274</v>
      </c>
      <c r="K3" t="s">
        <v>268</v>
      </c>
      <c r="L3" t="s">
        <v>769</v>
      </c>
      <c r="M3" t="s">
        <v>770</v>
      </c>
      <c r="N3" t="s">
        <v>73</v>
      </c>
      <c r="O3" s="4">
        <f>AVERAGE(ParseTime(RunTime1!F3),ParseTime(RunTime2!F3),ParseTime(RunTime3!F3),ParseTime(RunTime4!F3))
/
AVERAGE(ParseTime(RunTime1!J3),ParseTime(RunTime2!J3),ParseTime(RunTime3!J3),ParseTime(RunTime4!J3))</f>
        <v>121.73840735668163</v>
      </c>
      <c r="P3" s="4">
        <f>AVERAGE(ParseTime(RunTime1!F3),ParseTime(RunTime2!F3),ParseTime(RunTime3!F3),ParseTime(RunTime4!F3))
/
AVERAGE(ParseTime(RunTime1!I3),ParseTime(RunTime2!I3),ParseTime(RunTime3!I3),ParseTime(RunTime4!I3))</f>
        <v>131.53883556720643</v>
      </c>
      <c r="Q3" s="4">
        <f>AVERAGE(ParseTime(RunTime1!H3),ParseTime(RunTime2!H3),ParseTime(RunTime3!H3),ParseTime(RunTime4!H3))
/
AVERAGE(ParseTime(RunTime1!J3),ParseTime(RunTime2!J3),ParseTime(RunTime3!J3),ParseTime(RunTime4!J3))</f>
        <v>0.9483858344746624</v>
      </c>
      <c r="R3" s="4">
        <f>AVERAGE(ParseTime(RunTime1!G3),ParseTime(RunTime2!G3),ParseTime(RunTime3!G3),ParseTime(RunTime4!G3))
/
AVERAGE(ParseTime(RunTime1!I3),ParseTime(RunTime2!I3),ParseTime(RunTime3!I3),ParseTime(RunTime4!I3))</f>
        <v>1.1331021944103845</v>
      </c>
      <c r="S3" s="4">
        <f>AVERAGE(ParseTime(RunTime1!H3),ParseTime(RunTime2!H3),ParseTime(RunTime3!H3),ParseTime(RunTime4!H3))
/
AVERAGE(ParseTime(RunTime1!I3),ParseTime(RunTime2!I3),ParseTime(RunTime3!I3),ParseTime(RunTime4!I3))</f>
        <v>1.0247346835228954</v>
      </c>
      <c r="T3" s="4">
        <f>AVERAGE(ParseTime(RunTime1!G3),ParseTime(RunTime2!G3),ParseTime(RunTime3!G3),ParseTime(RunTime4!G3))
/
AVERAGE(ParseTime(RunTime1!J3),ParseTime(RunTime2!J3),ParseTime(RunTime3!J3),ParseTime(RunTime4!J3))</f>
        <v>1.0486793191156329</v>
      </c>
      <c r="U3" t="s">
        <v>18</v>
      </c>
    </row>
    <row r="4" spans="1:21" x14ac:dyDescent="0.25">
      <c r="A4" t="s">
        <v>294</v>
      </c>
      <c r="B4" t="s">
        <v>26</v>
      </c>
      <c r="C4" t="s">
        <v>11</v>
      </c>
      <c r="D4" s="1">
        <v>328730</v>
      </c>
      <c r="E4">
        <v>2</v>
      </c>
      <c r="F4" t="s">
        <v>771</v>
      </c>
      <c r="G4" t="s">
        <v>772</v>
      </c>
      <c r="H4" t="s">
        <v>773</v>
      </c>
      <c r="I4" t="s">
        <v>1201</v>
      </c>
      <c r="J4" t="s">
        <v>1275</v>
      </c>
      <c r="K4" t="s">
        <v>465</v>
      </c>
      <c r="L4" t="s">
        <v>107</v>
      </c>
      <c r="M4" t="s">
        <v>774</v>
      </c>
      <c r="N4" t="s">
        <v>599</v>
      </c>
      <c r="O4" s="4">
        <f>AVERAGE(ParseTime(RunTime1!F4),ParseTime(RunTime2!F4),ParseTime(RunTime3!F4),ParseTime(RunTime4!F4))
/
AVERAGE(ParseTime(RunTime1!J4),ParseTime(RunTime2!J4),ParseTime(RunTime3!J4),ParseTime(RunTime4!J4))</f>
        <v>2.2017178850925747</v>
      </c>
      <c r="P4" s="4">
        <f>AVERAGE(ParseTime(RunTime1!F4),ParseTime(RunTime2!F4),ParseTime(RunTime3!F4),ParseTime(RunTime4!F4))
/
AVERAGE(ParseTime(RunTime1!I4),ParseTime(RunTime2!I4),ParseTime(RunTime3!I4),ParseTime(RunTime4!I4))</f>
        <v>2.4598652222127444</v>
      </c>
      <c r="Q4" s="4">
        <f>AVERAGE(ParseTime(RunTime1!H4),ParseTime(RunTime2!H4),ParseTime(RunTime3!H4),ParseTime(RunTime4!H4))
/
AVERAGE(ParseTime(RunTime1!J4),ParseTime(RunTime2!J4),ParseTime(RunTime3!J4),ParseTime(RunTime4!J4))</f>
        <v>0.75697652223706813</v>
      </c>
      <c r="R4" s="4">
        <f>AVERAGE(ParseTime(RunTime1!G4),ParseTime(RunTime2!G4),ParseTime(RunTime3!G4),ParseTime(RunTime4!G4))
/
AVERAGE(ParseTime(RunTime1!I4),ParseTime(RunTime2!I4),ParseTime(RunTime3!I4),ParseTime(RunTime4!I4))</f>
        <v>1.1201057749722769</v>
      </c>
      <c r="S4" s="4">
        <f>AVERAGE(ParseTime(RunTime1!H4),ParseTime(RunTime2!H4),ParseTime(RunTime3!H4),ParseTime(RunTime4!H4))
/
AVERAGE(ParseTime(RunTime1!I4),ParseTime(RunTime2!I4),ParseTime(RunTime3!I4),ParseTime(RunTime4!I4))</f>
        <v>0.84573061503028246</v>
      </c>
      <c r="T4" s="4">
        <f>AVERAGE(ParseTime(RunTime1!G4),ParseTime(RunTime2!G4),ParseTime(RunTime3!G4),ParseTime(RunTime4!G4))
/
AVERAGE(ParseTime(RunTime1!J4),ParseTime(RunTime2!J4),ParseTime(RunTime3!J4),ParseTime(RunTime4!J4))</f>
        <v>1.0025577400267227</v>
      </c>
      <c r="U4" t="s">
        <v>18</v>
      </c>
    </row>
    <row r="5" spans="1:21" x14ac:dyDescent="0.25">
      <c r="A5" t="s">
        <v>294</v>
      </c>
      <c r="B5" t="s">
        <v>26</v>
      </c>
      <c r="C5" t="s">
        <v>19</v>
      </c>
      <c r="D5" s="1">
        <v>335402</v>
      </c>
      <c r="E5">
        <v>2</v>
      </c>
      <c r="F5" t="s">
        <v>33</v>
      </c>
      <c r="G5" t="s">
        <v>775</v>
      </c>
      <c r="H5" t="s">
        <v>776</v>
      </c>
      <c r="I5" t="s">
        <v>1234</v>
      </c>
      <c r="J5" t="s">
        <v>1276</v>
      </c>
      <c r="K5" t="s">
        <v>777</v>
      </c>
      <c r="L5" t="s">
        <v>33</v>
      </c>
      <c r="M5" t="s">
        <v>33</v>
      </c>
      <c r="N5" t="s">
        <v>148</v>
      </c>
      <c r="O5" s="4" t="s">
        <v>33</v>
      </c>
      <c r="P5" s="4" t="s">
        <v>33</v>
      </c>
      <c r="Q5" s="4">
        <f>AVERAGE(ParseTime(RunTime1!H5),ParseTime(RunTime2!H5),ParseTime(RunTime3!H5),ParseTime(RunTime4!H5))
/
AVERAGE(ParseTime(RunTime1!J5),ParseTime(RunTime2!J5),ParseTime(RunTime3!J5),ParseTime(RunTime4!J5))</f>
        <v>1.1001145172656799</v>
      </c>
      <c r="R5" s="4">
        <f>AVERAGE(ParseTime(RunTime1!G5),ParseTime(RunTime2!G5),ParseTime(RunTime3!G5),ParseTime(RunTime4!G5))
/
AVERAGE(ParseTime(RunTime1!I5),ParseTime(RunTime2!I5),ParseTime(RunTime3!I5),ParseTime(RunTime4!I5))</f>
        <v>0.79399302093718849</v>
      </c>
      <c r="S5" s="4">
        <f>AVERAGE(ParseTime(RunTime1!H5),ParseTime(RunTime2!H5),ParseTime(RunTime3!H5),ParseTime(RunTime4!H5))
/
AVERAGE(ParseTime(RunTime1!I5),ParseTime(RunTime2!I5),ParseTime(RunTime3!I5),ParseTime(RunTime4!I5))</f>
        <v>1.0375955466932534</v>
      </c>
      <c r="T5" s="4">
        <f>AVERAGE(ParseTime(RunTime1!G5),ParseTime(RunTime2!G5),ParseTime(RunTime3!G5),ParseTime(RunTime4!G5))
/
AVERAGE(ParseTime(RunTime1!J5),ParseTime(RunTime2!J5),ParseTime(RunTime3!J5),ParseTime(RunTime4!J5))</f>
        <v>0.84183403805496826</v>
      </c>
      <c r="U5" t="s">
        <v>297</v>
      </c>
    </row>
    <row r="6" spans="1:21" x14ac:dyDescent="0.25">
      <c r="A6" t="s">
        <v>294</v>
      </c>
      <c r="B6" t="s">
        <v>37</v>
      </c>
      <c r="C6" t="s">
        <v>11</v>
      </c>
      <c r="D6" s="1">
        <v>284815</v>
      </c>
      <c r="E6">
        <v>2</v>
      </c>
      <c r="F6" t="s">
        <v>778</v>
      </c>
      <c r="G6" t="s">
        <v>779</v>
      </c>
      <c r="H6" t="s">
        <v>780</v>
      </c>
      <c r="I6" t="s">
        <v>1235</v>
      </c>
      <c r="J6" t="s">
        <v>1277</v>
      </c>
      <c r="K6" t="s">
        <v>370</v>
      </c>
      <c r="L6" t="s">
        <v>781</v>
      </c>
      <c r="M6" t="s">
        <v>48</v>
      </c>
      <c r="N6" t="s">
        <v>98</v>
      </c>
      <c r="O6" s="4">
        <f>AVERAGE(ParseTime(RunTime1!F6),ParseTime(RunTime2!F6),ParseTime(RunTime3!F6),ParseTime(RunTime4!F6))
/
AVERAGE(ParseTime(RunTime1!J6),ParseTime(RunTime2!J6),ParseTime(RunTime3!J6),ParseTime(RunTime4!J6))</f>
        <v>1.4791843670348341</v>
      </c>
      <c r="P6" s="4">
        <f>AVERAGE(ParseTime(RunTime1!F6),ParseTime(RunTime2!F6),ParseTime(RunTime3!F6),ParseTime(RunTime4!F6))
/
AVERAGE(ParseTime(RunTime1!I6),ParseTime(RunTime2!I6),ParseTime(RunTime3!I6),ParseTime(RunTime4!I6))</f>
        <v>1.8409365558912387</v>
      </c>
      <c r="Q6" s="4">
        <f>AVERAGE(ParseTime(RunTime1!H6),ParseTime(RunTime2!H6),ParseTime(RunTime3!H6),ParseTime(RunTime4!H6))
/
AVERAGE(ParseTime(RunTime1!J6),ParseTime(RunTime2!J6),ParseTime(RunTime3!J6),ParseTime(RunTime4!J6))</f>
        <v>0.99510458388963052</v>
      </c>
      <c r="R6" s="4">
        <f>AVERAGE(ParseTime(RunTime1!G6),ParseTime(RunTime2!G6),ParseTime(RunTime3!G6),ParseTime(RunTime4!G6))
/
AVERAGE(ParseTime(RunTime1!I6),ParseTime(RunTime2!I6),ParseTime(RunTime3!I6),ParseTime(RunTime4!I6))</f>
        <v>0.92628398791540789</v>
      </c>
      <c r="S6" s="4">
        <f>AVERAGE(ParseTime(RunTime1!H6),ParseTime(RunTime2!H6),ParseTime(RunTime3!H6),ParseTime(RunTime4!H6))
/
AVERAGE(ParseTime(RunTime1!I6),ParseTime(RunTime2!I6),ParseTime(RunTime3!I6),ParseTime(RunTime4!I6))</f>
        <v>1.2384692849949648</v>
      </c>
      <c r="T6" s="4">
        <f>AVERAGE(ParseTime(RunTime1!G6),ParseTime(RunTime2!G6),ParseTime(RunTime3!G6),ParseTime(RunTime4!G6))
/
AVERAGE(ParseTime(RunTime1!J6),ParseTime(RunTime2!J6),ParseTime(RunTime3!J6),ParseTime(RunTime4!J6))</f>
        <v>0.74426508071367881</v>
      </c>
      <c r="U6" t="s">
        <v>18</v>
      </c>
    </row>
    <row r="7" spans="1:21" x14ac:dyDescent="0.25">
      <c r="A7" t="s">
        <v>294</v>
      </c>
      <c r="B7" t="s">
        <v>37</v>
      </c>
      <c r="C7" t="s">
        <v>19</v>
      </c>
      <c r="D7" s="1">
        <v>280114</v>
      </c>
      <c r="E7">
        <v>2</v>
      </c>
      <c r="F7" t="s">
        <v>782</v>
      </c>
      <c r="G7" t="s">
        <v>783</v>
      </c>
      <c r="H7" t="s">
        <v>784</v>
      </c>
      <c r="I7" t="s">
        <v>1236</v>
      </c>
      <c r="J7" t="s">
        <v>1278</v>
      </c>
      <c r="K7" t="s">
        <v>86</v>
      </c>
      <c r="L7" t="s">
        <v>785</v>
      </c>
      <c r="M7" t="s">
        <v>191</v>
      </c>
      <c r="N7" t="s">
        <v>1313</v>
      </c>
      <c r="O7" s="4">
        <f>AVERAGE(ParseTime(RunTime1!F7),ParseTime(RunTime2!F7),ParseTime(RunTime3!F7),ParseTime(RunTime4!F7))
/
AVERAGE(ParseTime(RunTime1!J7),ParseTime(RunTime2!J7),ParseTime(RunTime3!J7),ParseTime(RunTime4!J7))</f>
        <v>0.58038041765733772</v>
      </c>
      <c r="P7" s="4">
        <f>AVERAGE(ParseTime(RunTime1!F7),ParseTime(RunTime2!F7),ParseTime(RunTime3!F7),ParseTime(RunTime4!F7))
/
AVERAGE(ParseTime(RunTime1!I7),ParseTime(RunTime2!I7),ParseTime(RunTime3!I7),ParseTime(RunTime4!I7))</f>
        <v>1.900698907078193</v>
      </c>
      <c r="Q7" s="4">
        <f>AVERAGE(ParseTime(RunTime1!H7),ParseTime(RunTime2!H7),ParseTime(RunTime3!H7),ParseTime(RunTime4!H7))
/
AVERAGE(ParseTime(RunTime1!J7),ParseTime(RunTime2!J7),ParseTime(RunTime3!J7),ParseTime(RunTime4!J7))</f>
        <v>0.2914721132086282</v>
      </c>
      <c r="R7" s="4">
        <f>AVERAGE(ParseTime(RunTime1!G7),ParseTime(RunTime2!G7),ParseTime(RunTime3!G7),ParseTime(RunTime4!G7))
/
AVERAGE(ParseTime(RunTime1!I7),ParseTime(RunTime2!I7),ParseTime(RunTime3!I7),ParseTime(RunTime4!I7))</f>
        <v>0.74797129321262712</v>
      </c>
      <c r="S7" s="4">
        <f>AVERAGE(ParseTime(RunTime1!H7),ParseTime(RunTime2!H7),ParseTime(RunTime3!H7),ParseTime(RunTime4!H7))
/
AVERAGE(ParseTime(RunTime1!I7),ParseTime(RunTime2!I7),ParseTime(RunTime3!I7),ParseTime(RunTime4!I7))</f>
        <v>0.95454758665978701</v>
      </c>
      <c r="T7" s="4">
        <f>AVERAGE(ParseTime(RunTime1!G7),ParseTime(RunTime2!G7),ParseTime(RunTime3!G7),ParseTime(RunTime4!G7))
/
AVERAGE(ParseTime(RunTime1!J7),ParseTime(RunTime2!J7),ParseTime(RunTime3!J7),ParseTime(RunTime4!J7))</f>
        <v>0.22839382394224986</v>
      </c>
      <c r="U7" t="s">
        <v>18</v>
      </c>
    </row>
    <row r="8" spans="1:21" x14ac:dyDescent="0.25">
      <c r="A8" t="s">
        <v>294</v>
      </c>
      <c r="B8" t="s">
        <v>50</v>
      </c>
      <c r="C8" t="s">
        <v>11</v>
      </c>
      <c r="D8" s="1">
        <v>306846</v>
      </c>
      <c r="E8">
        <v>2</v>
      </c>
      <c r="F8" t="s">
        <v>786</v>
      </c>
      <c r="G8" t="s">
        <v>787</v>
      </c>
      <c r="H8" t="s">
        <v>788</v>
      </c>
      <c r="I8" t="s">
        <v>1237</v>
      </c>
      <c r="J8" t="s">
        <v>1279</v>
      </c>
      <c r="K8" t="s">
        <v>789</v>
      </c>
      <c r="L8" t="s">
        <v>790</v>
      </c>
      <c r="M8" t="s">
        <v>791</v>
      </c>
      <c r="N8" t="s">
        <v>43</v>
      </c>
      <c r="O8" s="4">
        <f>AVERAGE(ParseTime(RunTime1!F8),ParseTime(RunTime2!F8),ParseTime(RunTime3!F8),ParseTime(RunTime4!F8))
/
AVERAGE(ParseTime(RunTime1!J8),ParseTime(RunTime2!J8),ParseTime(RunTime3!J8),ParseTime(RunTime4!J8))</f>
        <v>1.7187417625867674</v>
      </c>
      <c r="P8" s="4">
        <f>AVERAGE(ParseTime(RunTime1!F8),ParseTime(RunTime2!F8),ParseTime(RunTime3!F8),ParseTime(RunTime4!F8))
/
AVERAGE(ParseTime(RunTime1!I8),ParseTime(RunTime2!I8),ParseTime(RunTime3!I8),ParseTime(RunTime4!I8))</f>
        <v>2.001944529730836</v>
      </c>
      <c r="Q8" s="4">
        <f>AVERAGE(ParseTime(RunTime1!H8),ParseTime(RunTime2!H8),ParseTime(RunTime3!H8),ParseTime(RunTime4!H8))
/
AVERAGE(ParseTime(RunTime1!J8),ParseTime(RunTime2!J8),ParseTime(RunTime3!J8),ParseTime(RunTime4!J8))</f>
        <v>0.73508479044020736</v>
      </c>
      <c r="R8" s="4">
        <f>AVERAGE(ParseTime(RunTime1!G8),ParseTime(RunTime2!G8),ParseTime(RunTime3!G8),ParseTime(RunTime4!G8))
/
AVERAGE(ParseTime(RunTime1!I8),ParseTime(RunTime2!I8),ParseTime(RunTime3!I8),ParseTime(RunTime4!I8))</f>
        <v>0.92887114931941461</v>
      </c>
      <c r="S8" s="4">
        <f>AVERAGE(ParseTime(RunTime1!H8),ParseTime(RunTime2!H8),ParseTime(RunTime3!H8),ParseTime(RunTime4!H8))
/
AVERAGE(ParseTime(RunTime1!I8),ParseTime(RunTime2!I8),ParseTime(RunTime3!I8),ParseTime(RunTime4!I8))</f>
        <v>0.85620714358816896</v>
      </c>
      <c r="T8" s="4">
        <f>AVERAGE(ParseTime(RunTime1!G8),ParseTime(RunTime2!G8),ParseTime(RunTime3!G8),ParseTime(RunTime4!G8))
/
AVERAGE(ParseTime(RunTime1!J8),ParseTime(RunTime2!J8),ParseTime(RunTime3!J8),ParseTime(RunTime4!J8))</f>
        <v>0.79746946665495122</v>
      </c>
      <c r="U8" t="s">
        <v>18</v>
      </c>
    </row>
    <row r="9" spans="1:21" x14ac:dyDescent="0.25">
      <c r="A9" t="s">
        <v>294</v>
      </c>
      <c r="B9" t="s">
        <v>50</v>
      </c>
      <c r="C9" t="s">
        <v>19</v>
      </c>
      <c r="D9" s="1">
        <v>301639</v>
      </c>
      <c r="E9">
        <v>2</v>
      </c>
      <c r="F9" t="s">
        <v>792</v>
      </c>
      <c r="G9" t="s">
        <v>533</v>
      </c>
      <c r="H9" t="s">
        <v>793</v>
      </c>
      <c r="I9" t="s">
        <v>1238</v>
      </c>
      <c r="J9" t="s">
        <v>1280</v>
      </c>
      <c r="K9" t="s">
        <v>428</v>
      </c>
      <c r="L9" t="s">
        <v>155</v>
      </c>
      <c r="M9" t="s">
        <v>403</v>
      </c>
      <c r="N9" t="s">
        <v>374</v>
      </c>
      <c r="O9" s="4">
        <f>AVERAGE(ParseTime(RunTime1!F9),ParseTime(RunTime2!F9),ParseTime(RunTime3!F9),ParseTime(RunTime4!F9))
/
AVERAGE(ParseTime(RunTime1!J9),ParseTime(RunTime2!J9),ParseTime(RunTime3!J9),ParseTime(RunTime4!J9))</f>
        <v>1.4177521740725794</v>
      </c>
      <c r="P9" s="4">
        <f>AVERAGE(ParseTime(RunTime1!F9),ParseTime(RunTime2!F9),ParseTime(RunTime3!F9),ParseTime(RunTime4!F9))
/
AVERAGE(ParseTime(RunTime1!I9),ParseTime(RunTime2!I9),ParseTime(RunTime3!I9),ParseTime(RunTime4!I9))</f>
        <v>1.9071076011846007</v>
      </c>
      <c r="Q9" s="4">
        <f>AVERAGE(ParseTime(RunTime1!H9),ParseTime(RunTime2!H9),ParseTime(RunTime3!H9),ParseTime(RunTime4!H9))
/
AVERAGE(ParseTime(RunTime1!J9),ParseTime(RunTime2!J9),ParseTime(RunTime3!J9),ParseTime(RunTime4!J9))</f>
        <v>0.71654496752651076</v>
      </c>
      <c r="R9" s="4">
        <f>AVERAGE(ParseTime(RunTime1!G9),ParseTime(RunTime2!G9),ParseTime(RunTime3!G9),ParseTime(RunTime4!G9))
/
AVERAGE(ParseTime(RunTime1!I9),ParseTime(RunTime2!I9),ParseTime(RunTime3!I9),ParseTime(RunTime4!I9))</f>
        <v>0.75918065153010861</v>
      </c>
      <c r="S9" s="4">
        <f>AVERAGE(ParseTime(RunTime1!H9),ParseTime(RunTime2!H9),ParseTime(RunTime3!H9),ParseTime(RunTime4!H9))
/
AVERAGE(ParseTime(RunTime1!I9),ParseTime(RunTime2!I9),ParseTime(RunTime3!I9),ParseTime(RunTime4!I9))</f>
        <v>0.96386969397828237</v>
      </c>
      <c r="T9" s="4">
        <f>AVERAGE(ParseTime(RunTime1!G9),ParseTime(RunTime2!G9),ParseTime(RunTime3!G9),ParseTime(RunTime4!G9))
/
AVERAGE(ParseTime(RunTime1!J9),ParseTime(RunTime2!J9),ParseTime(RunTime3!J9),ParseTime(RunTime4!J9))</f>
        <v>0.56437823358896266</v>
      </c>
      <c r="U9" t="s">
        <v>18</v>
      </c>
    </row>
    <row r="10" spans="1:21" x14ac:dyDescent="0.25">
      <c r="A10" t="s">
        <v>294</v>
      </c>
      <c r="B10" t="s">
        <v>63</v>
      </c>
      <c r="C10" t="s">
        <v>11</v>
      </c>
      <c r="D10" s="1">
        <v>243732</v>
      </c>
      <c r="E10">
        <v>2</v>
      </c>
      <c r="F10" t="s">
        <v>794</v>
      </c>
      <c r="G10" t="s">
        <v>795</v>
      </c>
      <c r="H10" t="s">
        <v>796</v>
      </c>
      <c r="I10" t="s">
        <v>1239</v>
      </c>
      <c r="J10" t="s">
        <v>1281</v>
      </c>
      <c r="K10" t="s">
        <v>412</v>
      </c>
      <c r="L10" t="s">
        <v>714</v>
      </c>
      <c r="M10" t="s">
        <v>342</v>
      </c>
      <c r="N10" t="s">
        <v>1314</v>
      </c>
      <c r="O10" s="4">
        <f>AVERAGE(ParseTime(RunTime1!F10),ParseTime(RunTime2!F10),ParseTime(RunTime3!F10),ParseTime(RunTime4!F10))
/
AVERAGE(ParseTime(RunTime1!J10),ParseTime(RunTime2!J10),ParseTime(RunTime3!J10),ParseTime(RunTime4!J10))</f>
        <v>2.7974368783473604</v>
      </c>
      <c r="P10" s="4">
        <f>AVERAGE(ParseTime(RunTime1!F10),ParseTime(RunTime2!F10),ParseTime(RunTime3!F10),ParseTime(RunTime4!F10))
/
AVERAGE(ParseTime(RunTime1!I10),ParseTime(RunTime2!I10),ParseTime(RunTime3!I10),ParseTime(RunTime4!I10))</f>
        <v>3.2053038189688232</v>
      </c>
      <c r="Q10" s="4">
        <f>AVERAGE(ParseTime(RunTime1!H10),ParseTime(RunTime2!H10),ParseTime(RunTime3!H10),ParseTime(RunTime4!H10))
/
AVERAGE(ParseTime(RunTime1!J10),ParseTime(RunTime2!J10),ParseTime(RunTime3!J10),ParseTime(RunTime4!J10))</f>
        <v>0.92712318286151507</v>
      </c>
      <c r="R10" s="4">
        <f>AVERAGE(ParseTime(RunTime1!G10),ParseTime(RunTime2!G10),ParseTime(RunTime3!G10),ParseTime(RunTime4!G10))
/
AVERAGE(ParseTime(RunTime1!I10),ParseTime(RunTime2!I10),ParseTime(RunTime3!I10),ParseTime(RunTime4!I10))</f>
        <v>1.0537504794257848</v>
      </c>
      <c r="S10" s="4">
        <f>AVERAGE(ParseTime(RunTime1!H10),ParseTime(RunTime2!H10),ParseTime(RunTime3!H10),ParseTime(RunTime4!H10))
/
AVERAGE(ParseTime(RunTime1!I10),ParseTime(RunTime2!I10),ParseTime(RunTime3!I10),ParseTime(RunTime4!I10))</f>
        <v>1.0622979562763684</v>
      </c>
      <c r="T10" s="4">
        <f>AVERAGE(ParseTime(RunTime1!G10),ParseTime(RunTime2!G10),ParseTime(RunTime3!G10),ParseTime(RunTime4!G10))
/
AVERAGE(ParseTime(RunTime1!J10),ParseTime(RunTime2!J10),ParseTime(RunTime3!J10),ParseTime(RunTime4!J10))</f>
        <v>0.91966335118592202</v>
      </c>
      <c r="U10" t="s">
        <v>18</v>
      </c>
    </row>
    <row r="11" spans="1:21" x14ac:dyDescent="0.25">
      <c r="A11" t="s">
        <v>294</v>
      </c>
      <c r="B11" t="s">
        <v>63</v>
      </c>
      <c r="C11" t="s">
        <v>19</v>
      </c>
      <c r="D11" s="1">
        <v>251509</v>
      </c>
      <c r="E11">
        <v>2</v>
      </c>
      <c r="F11" t="s">
        <v>797</v>
      </c>
      <c r="G11" t="s">
        <v>798</v>
      </c>
      <c r="H11" t="s">
        <v>799</v>
      </c>
      <c r="I11" t="s">
        <v>1240</v>
      </c>
      <c r="J11" t="s">
        <v>1282</v>
      </c>
      <c r="K11" t="s">
        <v>800</v>
      </c>
      <c r="L11" t="s">
        <v>801</v>
      </c>
      <c r="M11" t="s">
        <v>482</v>
      </c>
      <c r="N11" t="s">
        <v>73</v>
      </c>
      <c r="O11" s="4">
        <f>AVERAGE(ParseTime(RunTime1!F11),ParseTime(RunTime2!F11),ParseTime(RunTime3!F11),ParseTime(RunTime4!F11))
/
AVERAGE(ParseTime(RunTime1!J11),ParseTime(RunTime2!J11),ParseTime(RunTime3!J11),ParseTime(RunTime4!J11))</f>
        <v>2.8910788916980548</v>
      </c>
      <c r="P11" s="4">
        <f>AVERAGE(ParseTime(RunTime1!F11),ParseTime(RunTime2!F11),ParseTime(RunTime3!F11),ParseTime(RunTime4!F11))
/
AVERAGE(ParseTime(RunTime1!I11),ParseTime(RunTime2!I11),ParseTime(RunTime3!I11),ParseTime(RunTime4!I11))</f>
        <v>3.1998172577237165</v>
      </c>
      <c r="Q11" s="4">
        <f>AVERAGE(ParseTime(RunTime1!H11),ParseTime(RunTime2!H11),ParseTime(RunTime3!H11),ParseTime(RunTime4!H11))
/
AVERAGE(ParseTime(RunTime1!J11),ParseTime(RunTime2!J11),ParseTime(RunTime3!J11),ParseTime(RunTime4!J11))</f>
        <v>0.88468087301996801</v>
      </c>
      <c r="R11" s="4">
        <f>AVERAGE(ParseTime(RunTime1!G11),ParseTime(RunTime2!G11),ParseTime(RunTime3!G11),ParseTime(RunTime4!G11))
/
AVERAGE(ParseTime(RunTime1!I11),ParseTime(RunTime2!I11),ParseTime(RunTime3!I11),ParseTime(RunTime4!I11))</f>
        <v>0.71960481982753699</v>
      </c>
      <c r="S11" s="4">
        <f>AVERAGE(ParseTime(RunTime1!H11),ParseTime(RunTime2!H11),ParseTime(RunTime3!H11),ParseTime(RunTime4!H11))
/
AVERAGE(ParseTime(RunTime1!I11),ParseTime(RunTime2!I11),ParseTime(RunTime3!I11),ParseTime(RunTime4!I11))</f>
        <v>0.97915595911141573</v>
      </c>
      <c r="T11" s="4">
        <f>AVERAGE(ParseTime(RunTime1!G11),ParseTime(RunTime2!G11),ParseTime(RunTime3!G11),ParseTime(RunTime4!G11))
/
AVERAGE(ParseTime(RunTime1!J11),ParseTime(RunTime2!J11),ParseTime(RunTime3!J11),ParseTime(RunTime4!J11))</f>
        <v>0.65017284969815792</v>
      </c>
      <c r="U11" t="s">
        <v>18</v>
      </c>
    </row>
    <row r="12" spans="1:21" x14ac:dyDescent="0.25">
      <c r="A12" t="s">
        <v>294</v>
      </c>
      <c r="B12" t="s">
        <v>76</v>
      </c>
      <c r="C12" t="s">
        <v>11</v>
      </c>
      <c r="D12" s="1">
        <v>259612</v>
      </c>
      <c r="E12">
        <v>2</v>
      </c>
      <c r="F12" t="s">
        <v>802</v>
      </c>
      <c r="G12" t="s">
        <v>803</v>
      </c>
      <c r="H12" t="s">
        <v>804</v>
      </c>
      <c r="I12" t="s">
        <v>1241</v>
      </c>
      <c r="J12" t="s">
        <v>1283</v>
      </c>
      <c r="K12" t="s">
        <v>805</v>
      </c>
      <c r="L12" t="s">
        <v>94</v>
      </c>
      <c r="M12" t="s">
        <v>42</v>
      </c>
      <c r="N12" t="s">
        <v>548</v>
      </c>
      <c r="O12" s="4">
        <f>AVERAGE(ParseTime(RunTime1!F12),ParseTime(RunTime2!F12),ParseTime(RunTime3!F12),ParseTime(RunTime4!F12))
/
AVERAGE(ParseTime(RunTime1!J12),ParseTime(RunTime2!J12),ParseTime(RunTime3!J12),ParseTime(RunTime4!J12))</f>
        <v>1.881027827389526</v>
      </c>
      <c r="P12" s="4">
        <f>AVERAGE(ParseTime(RunTime1!F12),ParseTime(RunTime2!F12),ParseTime(RunTime3!F12),ParseTime(RunTime4!F12))
/
AVERAGE(ParseTime(RunTime1!I12),ParseTime(RunTime2!I12),ParseTime(RunTime3!I12),ParseTime(RunTime4!I12))</f>
        <v>1.9180472329925979</v>
      </c>
      <c r="Q12" s="4">
        <f>AVERAGE(ParseTime(RunTime1!H12),ParseTime(RunTime2!H12),ParseTime(RunTime3!H12),ParseTime(RunTime4!H12))
/
AVERAGE(ParseTime(RunTime1!J12),ParseTime(RunTime2!J12),ParseTime(RunTime3!J12),ParseTime(RunTime4!J12))</f>
        <v>1.0412513683240192</v>
      </c>
      <c r="R12" s="4">
        <f>AVERAGE(ParseTime(RunTime1!G12),ParseTime(RunTime2!G12),ParseTime(RunTime3!G12),ParseTime(RunTime4!G12))
/
AVERAGE(ParseTime(RunTime1!I12),ParseTime(RunTime2!I12),ParseTime(RunTime3!I12),ParseTime(RunTime4!I12))</f>
        <v>0.92492069087063811</v>
      </c>
      <c r="S12" s="4">
        <f>AVERAGE(ParseTime(RunTime1!H12),ParseTime(RunTime2!H12),ParseTime(RunTime3!H12),ParseTime(RunTime4!H12))
/
AVERAGE(ParseTime(RunTime1!I12),ParseTime(RunTime2!I12),ParseTime(RunTime3!I12),ParseTime(RunTime4!I12))</f>
        <v>1.0617436258958994</v>
      </c>
      <c r="T12" s="4">
        <f>AVERAGE(ParseTime(RunTime1!G12),ParseTime(RunTime2!G12),ParseTime(RunTime3!G12),ParseTime(RunTime4!G12))
/
AVERAGE(ParseTime(RunTime1!J12),ParseTime(RunTime2!J12),ParseTime(RunTime3!J12),ParseTime(RunTime4!J12))</f>
        <v>0.90706919398513575</v>
      </c>
      <c r="U12" t="s">
        <v>18</v>
      </c>
    </row>
    <row r="13" spans="1:21" x14ac:dyDescent="0.25">
      <c r="A13" t="s">
        <v>294</v>
      </c>
      <c r="B13" t="s">
        <v>76</v>
      </c>
      <c r="C13" t="s">
        <v>19</v>
      </c>
      <c r="D13" s="1">
        <v>265657</v>
      </c>
      <c r="E13">
        <v>2</v>
      </c>
      <c r="F13" t="s">
        <v>806</v>
      </c>
      <c r="G13" t="s">
        <v>807</v>
      </c>
      <c r="H13" t="s">
        <v>808</v>
      </c>
      <c r="I13" t="s">
        <v>1242</v>
      </c>
      <c r="J13" t="s">
        <v>1284</v>
      </c>
      <c r="K13" t="s">
        <v>60</v>
      </c>
      <c r="L13" t="s">
        <v>292</v>
      </c>
      <c r="M13" t="s">
        <v>327</v>
      </c>
      <c r="N13" t="s">
        <v>818</v>
      </c>
      <c r="O13" s="4">
        <f>AVERAGE(ParseTime(RunTime1!F13),ParseTime(RunTime2!F13),ParseTime(RunTime3!F13),ParseTime(RunTime4!F13))
/
AVERAGE(ParseTime(RunTime1!J13),ParseTime(RunTime2!J13),ParseTime(RunTime3!J13),ParseTime(RunTime4!J13))</f>
        <v>1.5287199745720383</v>
      </c>
      <c r="P13" s="4">
        <f>AVERAGE(ParseTime(RunTime1!F13),ParseTime(RunTime2!F13),ParseTime(RunTime3!F13),ParseTime(RunTime4!F13))
/
AVERAGE(ParseTime(RunTime1!I13),ParseTime(RunTime2!I13),ParseTime(RunTime3!I13),ParseTime(RunTime4!I13))</f>
        <v>2.1031359320339833</v>
      </c>
      <c r="Q13" s="4">
        <f>AVERAGE(ParseTime(RunTime1!H13),ParseTime(RunTime2!H13),ParseTime(RunTime3!H13),ParseTime(RunTime4!H13))
/
AVERAGE(ParseTime(RunTime1!J13),ParseTime(RunTime2!J13),ParseTime(RunTime3!J13),ParseTime(RunTime4!J13))</f>
        <v>0.88952458793079947</v>
      </c>
      <c r="R13" s="4">
        <f>AVERAGE(ParseTime(RunTime1!G13),ParseTime(RunTime2!G13),ParseTime(RunTime3!G13),ParseTime(RunTime4!G13))
/
AVERAGE(ParseTime(RunTime1!I13),ParseTime(RunTime2!I13),ParseTime(RunTime3!I13),ParseTime(RunTime4!I13))</f>
        <v>0.73069715142428793</v>
      </c>
      <c r="S13" s="4">
        <f>AVERAGE(ParseTime(RunTime1!H13),ParseTime(RunTime2!H13),ParseTime(RunTime3!H13),ParseTime(RunTime4!H13))
/
AVERAGE(ParseTime(RunTime1!I13),ParseTime(RunTime2!I13),ParseTime(RunTime3!I13),ParseTime(RunTime4!I13))</f>
        <v>1.2237631184407793</v>
      </c>
      <c r="T13" s="4">
        <f>AVERAGE(ParseTime(RunTime1!G13),ParseTime(RunTime2!G13),ParseTime(RunTime3!G13),ParseTime(RunTime4!G13))
/
AVERAGE(ParseTime(RunTime1!J13),ParseTime(RunTime2!J13),ParseTime(RunTime3!J13),ParseTime(RunTime4!J13))</f>
        <v>0.53112654951641469</v>
      </c>
      <c r="U13" t="s">
        <v>18</v>
      </c>
    </row>
    <row r="14" spans="1:21" x14ac:dyDescent="0.25">
      <c r="A14" t="s">
        <v>294</v>
      </c>
      <c r="B14" t="s">
        <v>89</v>
      </c>
      <c r="C14" t="s">
        <v>11</v>
      </c>
      <c r="D14" s="1">
        <v>235305</v>
      </c>
      <c r="E14">
        <v>2</v>
      </c>
      <c r="F14" t="s">
        <v>809</v>
      </c>
      <c r="G14" t="s">
        <v>810</v>
      </c>
      <c r="H14" t="s">
        <v>811</v>
      </c>
      <c r="I14" t="s">
        <v>1243</v>
      </c>
      <c r="J14" t="s">
        <v>1285</v>
      </c>
      <c r="K14" t="s">
        <v>812</v>
      </c>
      <c r="L14" t="s">
        <v>813</v>
      </c>
      <c r="M14" t="s">
        <v>814</v>
      </c>
      <c r="N14" t="s">
        <v>805</v>
      </c>
      <c r="O14" s="4">
        <f>AVERAGE(ParseTime(RunTime1!F14),ParseTime(RunTime2!F14),ParseTime(RunTime3!F14),ParseTime(RunTime4!F14))
/
AVERAGE(ParseTime(RunTime1!J14),ParseTime(RunTime2!J14),ParseTime(RunTime3!J14),ParseTime(RunTime4!J14))</f>
        <v>1.6537027888804057</v>
      </c>
      <c r="P14" s="4">
        <f>AVERAGE(ParseTime(RunTime1!F14),ParseTime(RunTime2!F14),ParseTime(RunTime3!F14),ParseTime(RunTime4!F14))
/
AVERAGE(ParseTime(RunTime1!I14),ParseTime(RunTime2!I14),ParseTime(RunTime3!I14),ParseTime(RunTime4!I14))</f>
        <v>2.3493045808345032</v>
      </c>
      <c r="Q14" s="4">
        <f>AVERAGE(ParseTime(RunTime1!H14),ParseTime(RunTime2!H14),ParseTime(RunTime3!H14),ParseTime(RunTime4!H14))
/
AVERAGE(ParseTime(RunTime1!J14),ParseTime(RunTime2!J14),ParseTime(RunTime3!J14),ParseTime(RunTime4!J14))</f>
        <v>0.69582790676786277</v>
      </c>
      <c r="R14" s="4">
        <f>AVERAGE(ParseTime(RunTime1!G14),ParseTime(RunTime2!G14),ParseTime(RunTime3!G14),ParseTime(RunTime4!G14))
/
AVERAGE(ParseTime(RunTime1!I14),ParseTime(RunTime2!I14),ParseTime(RunTime3!I14),ParseTime(RunTime4!I14))</f>
        <v>0.78422865892560933</v>
      </c>
      <c r="S14" s="4">
        <f>AVERAGE(ParseTime(RunTime1!H14),ParseTime(RunTime2!H14),ParseTime(RunTime3!H14),ParseTime(RunTime4!H14))
/
AVERAGE(ParseTime(RunTime1!I14),ParseTime(RunTime2!I14),ParseTime(RunTime3!I14),ParseTime(RunTime4!I14))</f>
        <v>0.98851601378078358</v>
      </c>
      <c r="T14" s="4">
        <f>AVERAGE(ParseTime(RunTime1!G14),ParseTime(RunTime2!G14),ParseTime(RunTime3!G14),ParseTime(RunTime4!G14))
/
AVERAGE(ParseTime(RunTime1!J14),ParseTime(RunTime2!J14),ParseTime(RunTime3!J14),ParseTime(RunTime4!J14))</f>
        <v>0.55202766425652305</v>
      </c>
      <c r="U14" t="s">
        <v>18</v>
      </c>
    </row>
    <row r="15" spans="1:21" x14ac:dyDescent="0.25">
      <c r="A15" t="s">
        <v>294</v>
      </c>
      <c r="B15" t="s">
        <v>89</v>
      </c>
      <c r="C15" t="s">
        <v>19</v>
      </c>
      <c r="D15" s="1">
        <v>233608</v>
      </c>
      <c r="E15">
        <v>2</v>
      </c>
      <c r="F15" t="s">
        <v>815</v>
      </c>
      <c r="G15" t="s">
        <v>816</v>
      </c>
      <c r="H15" t="s">
        <v>817</v>
      </c>
      <c r="I15" t="s">
        <v>1244</v>
      </c>
      <c r="J15" t="s">
        <v>1286</v>
      </c>
      <c r="K15" t="s">
        <v>818</v>
      </c>
      <c r="L15" t="s">
        <v>819</v>
      </c>
      <c r="M15" t="s">
        <v>820</v>
      </c>
      <c r="N15" t="s">
        <v>210</v>
      </c>
      <c r="O15" s="4">
        <f>AVERAGE(ParseTime(RunTime1!F15),ParseTime(RunTime2!F15),ParseTime(RunTime3!F15),ParseTime(RunTime4!F15))
/
AVERAGE(ParseTime(RunTime1!J15),ParseTime(RunTime2!J15),ParseTime(RunTime3!J15),ParseTime(RunTime4!J15))</f>
        <v>1.7054108216432864</v>
      </c>
      <c r="P15" s="4">
        <f>AVERAGE(ParseTime(RunTime1!F15),ParseTime(RunTime2!F15),ParseTime(RunTime3!F15),ParseTime(RunTime4!F15))
/
AVERAGE(ParseTime(RunTime1!I15),ParseTime(RunTime2!I15),ParseTime(RunTime3!I15),ParseTime(RunTime4!I15))</f>
        <v>2.0313898669212866</v>
      </c>
      <c r="Q15" s="4">
        <f>AVERAGE(ParseTime(RunTime1!H15),ParseTime(RunTime2!H15),ParseTime(RunTime3!H15),ParseTime(RunTime4!H15))
/
AVERAGE(ParseTime(RunTime1!J15),ParseTime(RunTime2!J15),ParseTime(RunTime3!J15),ParseTime(RunTime4!J15))</f>
        <v>0.93892785571142279</v>
      </c>
      <c r="R15" s="4">
        <f>AVERAGE(ParseTime(RunTime1!G15),ParseTime(RunTime2!G15),ParseTime(RunTime3!G15),ParseTime(RunTime4!G15))
/
AVERAGE(ParseTime(RunTime1!I15),ParseTime(RunTime2!I15),ParseTime(RunTime3!I15),ParseTime(RunTime4!I15))</f>
        <v>0.61257981738974765</v>
      </c>
      <c r="S15" s="4">
        <f>AVERAGE(ParseTime(RunTime1!H15),ParseTime(RunTime2!H15),ParseTime(RunTime3!H15),ParseTime(RunTime4!H15))
/
AVERAGE(ParseTime(RunTime1!I15),ParseTime(RunTime2!I15),ParseTime(RunTime3!I15),ParseTime(RunTime4!I15))</f>
        <v>1.1183982813152713</v>
      </c>
      <c r="T15" s="4">
        <f>AVERAGE(ParseTime(RunTime1!G15),ParseTime(RunTime2!G15),ParseTime(RunTime3!G15),ParseTime(RunTime4!G15))
/
AVERAGE(ParseTime(RunTime1!J15),ParseTime(RunTime2!J15),ParseTime(RunTime3!J15),ParseTime(RunTime4!J15))</f>
        <v>0.51427855711422843</v>
      </c>
      <c r="U15" t="s">
        <v>18</v>
      </c>
    </row>
    <row r="16" spans="1:21" x14ac:dyDescent="0.25">
      <c r="A16" t="s">
        <v>294</v>
      </c>
      <c r="B16" t="s">
        <v>101</v>
      </c>
      <c r="C16" t="s">
        <v>11</v>
      </c>
      <c r="D16" s="1">
        <v>222180</v>
      </c>
      <c r="E16">
        <v>2</v>
      </c>
      <c r="F16" t="s">
        <v>821</v>
      </c>
      <c r="G16" t="s">
        <v>822</v>
      </c>
      <c r="H16" t="s">
        <v>823</v>
      </c>
      <c r="I16" t="s">
        <v>1245</v>
      </c>
      <c r="J16" t="s">
        <v>1287</v>
      </c>
      <c r="K16" t="s">
        <v>818</v>
      </c>
      <c r="L16" t="s">
        <v>314</v>
      </c>
      <c r="M16" t="s">
        <v>824</v>
      </c>
      <c r="N16" t="s">
        <v>1315</v>
      </c>
      <c r="O16" s="4">
        <f>AVERAGE(ParseTime(RunTime1!F16),ParseTime(RunTime2!F16),ParseTime(RunTime3!F16),ParseTime(RunTime4!F16))
/
AVERAGE(ParseTime(RunTime1!J16),ParseTime(RunTime2!J16),ParseTime(RunTime3!J16),ParseTime(RunTime4!J16))</f>
        <v>1.6240388506677459</v>
      </c>
      <c r="P16" s="4">
        <f>AVERAGE(ParseTime(RunTime1!F16),ParseTime(RunTime2!F16),ParseTime(RunTime3!F16),ParseTime(RunTime4!F16))
/
AVERAGE(ParseTime(RunTime1!I16),ParseTime(RunTime2!I16),ParseTime(RunTime3!I16),ParseTime(RunTime4!I16))</f>
        <v>1.7224232019130541</v>
      </c>
      <c r="Q16" s="4">
        <f>AVERAGE(ParseTime(RunTime1!H16),ParseTime(RunTime2!H16),ParseTime(RunTime3!H16),ParseTime(RunTime4!H16))
/
AVERAGE(ParseTime(RunTime1!J16),ParseTime(RunTime2!J16),ParseTime(RunTime3!J16),ParseTime(RunTime4!J16))</f>
        <v>0.99485459906342133</v>
      </c>
      <c r="R16" s="4">
        <f>AVERAGE(ParseTime(RunTime1!G16),ParseTime(RunTime2!G16),ParseTime(RunTime3!G16),ParseTime(RunTime4!G16))
/
AVERAGE(ParseTime(RunTime1!I16),ParseTime(RunTime2!I16),ParseTime(RunTime3!I16),ParseTime(RunTime4!I16))</f>
        <v>0.80495431970077869</v>
      </c>
      <c r="S16" s="4">
        <f>AVERAGE(ParseTime(RunTime1!H16),ParseTime(RunTime2!H16),ParseTime(RunTime3!H16),ParseTime(RunTime4!H16))
/
AVERAGE(ParseTime(RunTime1!I16),ParseTime(RunTime2!I16),ParseTime(RunTime3!I16),ParseTime(RunTime4!I16))</f>
        <v>1.0551229382549512</v>
      </c>
      <c r="T16" s="4">
        <f>AVERAGE(ParseTime(RunTime1!G16),ParseTime(RunTime2!G16),ParseTime(RunTime3!G16),ParseTime(RunTime4!G16))
/
AVERAGE(ParseTime(RunTime1!J16),ParseTime(RunTime2!J16),ParseTime(RunTime3!J16),ParseTime(RunTime4!J16))</f>
        <v>0.75897554489217778</v>
      </c>
      <c r="U16" t="s">
        <v>18</v>
      </c>
    </row>
    <row r="17" spans="1:21" x14ac:dyDescent="0.25">
      <c r="A17" t="s">
        <v>294</v>
      </c>
      <c r="B17" t="s">
        <v>101</v>
      </c>
      <c r="C17" t="s">
        <v>19</v>
      </c>
      <c r="D17" s="1">
        <v>215330</v>
      </c>
      <c r="E17">
        <v>2</v>
      </c>
      <c r="F17" t="s">
        <v>825</v>
      </c>
      <c r="G17" t="s">
        <v>826</v>
      </c>
      <c r="H17" t="s">
        <v>827</v>
      </c>
      <c r="I17" t="s">
        <v>1246</v>
      </c>
      <c r="J17" t="s">
        <v>1288</v>
      </c>
      <c r="K17" t="s">
        <v>594</v>
      </c>
      <c r="L17" t="s">
        <v>600</v>
      </c>
      <c r="M17" t="s">
        <v>828</v>
      </c>
      <c r="N17" t="s">
        <v>43</v>
      </c>
      <c r="O17" s="4">
        <f>AVERAGE(ParseTime(RunTime1!F17),ParseTime(RunTime2!F17),ParseTime(RunTime3!F17),ParseTime(RunTime4!F17))
/
AVERAGE(ParseTime(RunTime1!J17),ParseTime(RunTime2!J17),ParseTime(RunTime3!J17),ParseTime(RunTime4!J17))</f>
        <v>1.399324754122425</v>
      </c>
      <c r="P17" s="4">
        <f>AVERAGE(ParseTime(RunTime1!F17),ParseTime(RunTime2!F17),ParseTime(RunTime3!F17),ParseTime(RunTime4!F17))
/
AVERAGE(ParseTime(RunTime1!I17),ParseTime(RunTime2!I17),ParseTime(RunTime3!I17),ParseTime(RunTime4!I17))</f>
        <v>1.8443183283890106</v>
      </c>
      <c r="Q17" s="4">
        <f>AVERAGE(ParseTime(RunTime1!H17),ParseTime(RunTime2!H17),ParseTime(RunTime3!H17),ParseTime(RunTime4!H17))
/
AVERAGE(ParseTime(RunTime1!J17),ParseTime(RunTime2!J17),ParseTime(RunTime3!J17),ParseTime(RunTime4!J17))</f>
        <v>0.93448157753094863</v>
      </c>
      <c r="R17" s="4">
        <f>AVERAGE(ParseTime(RunTime1!G17),ParseTime(RunTime2!G17),ParseTime(RunTime3!G17),ParseTime(RunTime4!G17))
/
AVERAGE(ParseTime(RunTime1!I17),ParseTime(RunTime2!I17),ParseTime(RunTime3!I17),ParseTime(RunTime4!I17))</f>
        <v>0.6551012511285953</v>
      </c>
      <c r="S17" s="4">
        <f>AVERAGE(ParseTime(RunTime1!H17),ParseTime(RunTime2!H17),ParseTime(RunTime3!H17),ParseTime(RunTime4!H17))
/
AVERAGE(ParseTime(RunTime1!I17),ParseTime(RunTime2!I17),ParseTime(RunTime3!I17),ParseTime(RunTime4!I17))</f>
        <v>1.2316522636398812</v>
      </c>
      <c r="T17" s="4">
        <f>AVERAGE(ParseTime(RunTime1!G17),ParseTime(RunTime2!G17),ParseTime(RunTime3!G17),ParseTime(RunTime4!G17))
/
AVERAGE(ParseTime(RunTime1!J17),ParseTime(RunTime2!J17),ParseTime(RunTime3!J17),ParseTime(RunTime4!J17))</f>
        <v>0.49703968292802264</v>
      </c>
      <c r="U17" t="s">
        <v>18</v>
      </c>
    </row>
    <row r="18" spans="1:21" x14ac:dyDescent="0.25">
      <c r="A18" t="s">
        <v>294</v>
      </c>
      <c r="B18" t="s">
        <v>114</v>
      </c>
      <c r="C18" t="s">
        <v>11</v>
      </c>
      <c r="D18" s="1">
        <v>176918</v>
      </c>
      <c r="E18">
        <v>2</v>
      </c>
      <c r="F18" t="s">
        <v>829</v>
      </c>
      <c r="G18" t="s">
        <v>830</v>
      </c>
      <c r="H18" t="s">
        <v>831</v>
      </c>
      <c r="I18" t="s">
        <v>1247</v>
      </c>
      <c r="J18" t="s">
        <v>1289</v>
      </c>
      <c r="K18" t="s">
        <v>118</v>
      </c>
      <c r="L18" t="s">
        <v>832</v>
      </c>
      <c r="M18" t="s">
        <v>833</v>
      </c>
      <c r="N18" t="s">
        <v>275</v>
      </c>
      <c r="O18" s="4">
        <f>AVERAGE(ParseTime(RunTime1!F18),ParseTime(RunTime2!F18),ParseTime(RunTime3!F18),ParseTime(RunTime4!F18))
/
AVERAGE(ParseTime(RunTime1!J18),ParseTime(RunTime2!J18),ParseTime(RunTime3!J18),ParseTime(RunTime4!J18))</f>
        <v>124.01996173469387</v>
      </c>
      <c r="P18" s="4">
        <f>AVERAGE(ParseTime(RunTime1!F18),ParseTime(RunTime2!F18),ParseTime(RunTime3!F18),ParseTime(RunTime4!F18))
/
AVERAGE(ParseTime(RunTime1!I18),ParseTime(RunTime2!I18),ParseTime(RunTime3!I18),ParseTime(RunTime4!I18))</f>
        <v>121.13074623146879</v>
      </c>
      <c r="Q18" s="4">
        <f>AVERAGE(ParseTime(RunTime1!H18),ParseTime(RunTime2!H18),ParseTime(RunTime3!H18),ParseTime(RunTime4!H18))
/
AVERAGE(ParseTime(RunTime1!J18),ParseTime(RunTime2!J18),ParseTime(RunTime3!J18),ParseTime(RunTime4!J18))</f>
        <v>1.0300382653061224</v>
      </c>
      <c r="R18" s="4">
        <f>AVERAGE(ParseTime(RunTime1!G18),ParseTime(RunTime2!G18),ParseTime(RunTime3!G18),ParseTime(RunTime4!G18))
/
AVERAGE(ParseTime(RunTime1!I18),ParseTime(RunTime2!I18),ParseTime(RunTime3!I18),ParseTime(RunTime4!I18))</f>
        <v>0.8033511897346457</v>
      </c>
      <c r="S18" s="4">
        <f>AVERAGE(ParseTime(RunTime1!H18),ParseTime(RunTime2!H18),ParseTime(RunTime3!H18),ParseTime(RunTime4!H18))
/
AVERAGE(ParseTime(RunTime1!I18),ParseTime(RunTime2!I18),ParseTime(RunTime3!I18),ParseTime(RunTime4!I18))</f>
        <v>1.0060421078858852</v>
      </c>
      <c r="T18" s="4">
        <f>AVERAGE(ParseTime(RunTime1!G18),ParseTime(RunTime2!G18),ParseTime(RunTime3!G18),ParseTime(RunTime4!G18))
/
AVERAGE(ParseTime(RunTime1!J18),ParseTime(RunTime2!J18),ParseTime(RunTime3!J18),ParseTime(RunTime4!J18))</f>
        <v>0.8225127551020408</v>
      </c>
      <c r="U18" t="s">
        <v>18</v>
      </c>
    </row>
    <row r="19" spans="1:21" x14ac:dyDescent="0.25">
      <c r="A19" t="s">
        <v>294</v>
      </c>
      <c r="B19" t="s">
        <v>114</v>
      </c>
      <c r="C19" t="s">
        <v>19</v>
      </c>
      <c r="D19" s="1">
        <v>178143</v>
      </c>
      <c r="E19">
        <v>2</v>
      </c>
      <c r="F19" t="s">
        <v>834</v>
      </c>
      <c r="G19" t="s">
        <v>835</v>
      </c>
      <c r="H19" t="s">
        <v>836</v>
      </c>
      <c r="I19" t="s">
        <v>1248</v>
      </c>
      <c r="J19" t="s">
        <v>1290</v>
      </c>
      <c r="K19" t="s">
        <v>837</v>
      </c>
      <c r="L19" t="s">
        <v>838</v>
      </c>
      <c r="M19" t="s">
        <v>839</v>
      </c>
      <c r="N19" t="s">
        <v>558</v>
      </c>
      <c r="O19" s="4">
        <f>AVERAGE(ParseTime(RunTime1!F19),ParseTime(RunTime2!F19),ParseTime(RunTime3!F19),ParseTime(RunTime4!F19))
/
AVERAGE(ParseTime(RunTime1!J19),ParseTime(RunTime2!J19),ParseTime(RunTime3!J19),ParseTime(RunTime4!J19))</f>
        <v>118.00855486019405</v>
      </c>
      <c r="P19" s="4">
        <f>AVERAGE(ParseTime(RunTime1!F19),ParseTime(RunTime2!F19),ParseTime(RunTime3!F19),ParseTime(RunTime4!F19))
/
AVERAGE(ParseTime(RunTime1!I19),ParseTime(RunTime2!I19),ParseTime(RunTime3!I19),ParseTime(RunTime4!I19))</f>
        <v>144.69236184442099</v>
      </c>
      <c r="Q19" s="4">
        <f>AVERAGE(ParseTime(RunTime1!H19),ParseTime(RunTime2!H19),ParseTime(RunTime3!H19),ParseTime(RunTime4!H19))
/
AVERAGE(ParseTime(RunTime1!J19),ParseTime(RunTime2!J19),ParseTime(RunTime3!J19),ParseTime(RunTime4!J19))</f>
        <v>1.1217775736349542</v>
      </c>
      <c r="R19" s="4">
        <f>AVERAGE(ParseTime(RunTime1!G19),ParseTime(RunTime2!G19),ParseTime(RunTime3!G19),ParseTime(RunTime4!G19))
/
AVERAGE(ParseTime(RunTime1!I19),ParseTime(RunTime2!I19),ParseTime(RunTime3!I19),ParseTime(RunTime4!I19))</f>
        <v>0.60774375219992949</v>
      </c>
      <c r="S19" s="4">
        <f>AVERAGE(ParseTime(RunTime1!H19),ParseTime(RunTime2!H19),ParseTime(RunTime3!H19),ParseTime(RunTime4!H19))
/
AVERAGE(ParseTime(RunTime1!I19),ParseTime(RunTime2!I19),ParseTime(RunTime3!I19),ParseTime(RunTime4!I19))</f>
        <v>1.3754311862020416</v>
      </c>
      <c r="T19" s="4">
        <f>AVERAGE(ParseTime(RunTime1!G19),ParseTime(RunTime2!G19),ParseTime(RunTime3!G19),ParseTime(RunTime4!G19))
/
AVERAGE(ParseTime(RunTime1!J19),ParseTime(RunTime2!J19),ParseTime(RunTime3!J19),ParseTime(RunTime4!J19))</f>
        <v>0.49566515473388062</v>
      </c>
      <c r="U19" t="s">
        <v>18</v>
      </c>
    </row>
    <row r="20" spans="1:21" x14ac:dyDescent="0.25">
      <c r="A20" t="s">
        <v>294</v>
      </c>
      <c r="B20" t="s">
        <v>127</v>
      </c>
      <c r="C20" t="s">
        <v>11</v>
      </c>
      <c r="D20" s="1">
        <v>209222</v>
      </c>
      <c r="E20">
        <v>2</v>
      </c>
      <c r="F20" t="s">
        <v>840</v>
      </c>
      <c r="G20" t="s">
        <v>841</v>
      </c>
      <c r="H20" t="s">
        <v>842</v>
      </c>
      <c r="I20" t="s">
        <v>1249</v>
      </c>
      <c r="J20" t="s">
        <v>1052</v>
      </c>
      <c r="K20" t="s">
        <v>599</v>
      </c>
      <c r="L20" t="s">
        <v>843</v>
      </c>
      <c r="M20" t="s">
        <v>155</v>
      </c>
      <c r="N20" t="s">
        <v>599</v>
      </c>
      <c r="O20" s="4">
        <f>AVERAGE(ParseTime(RunTime1!F20),ParseTime(RunTime2!F20),ParseTime(RunTime3!F20),ParseTime(RunTime4!F20))
/
AVERAGE(ParseTime(RunTime1!J20),ParseTime(RunTime2!J20),ParseTime(RunTime3!J20),ParseTime(RunTime4!J20))</f>
        <v>1.5625599638805803</v>
      </c>
      <c r="P20" s="4">
        <f>AVERAGE(ParseTime(RunTime1!F20),ParseTime(RunTime2!F20),ParseTime(RunTime3!F20),ParseTime(RunTime4!F20))
/
AVERAGE(ParseTime(RunTime1!I20),ParseTime(RunTime2!I20),ParseTime(RunTime3!I20),ParseTime(RunTime4!I20))</f>
        <v>2.1104504916533271</v>
      </c>
      <c r="Q20" s="4">
        <f>AVERAGE(ParseTime(RunTime1!H20),ParseTime(RunTime2!H20),ParseTime(RunTime3!H20),ParseTime(RunTime4!H20))
/
AVERAGE(ParseTime(RunTime1!J20),ParseTime(RunTime2!J20),ParseTime(RunTime3!J20),ParseTime(RunTime4!J20))</f>
        <v>0.73102319543992345</v>
      </c>
      <c r="R20" s="4">
        <f>AVERAGE(ParseTime(RunTime1!G20),ParseTime(RunTime2!G20),ParseTime(RunTime3!G20),ParseTime(RunTime4!G20))
/
AVERAGE(ParseTime(RunTime1!I20),ParseTime(RunTime2!I20),ParseTime(RunTime3!I20),ParseTime(RunTime4!I20))</f>
        <v>0.90174555987499061</v>
      </c>
      <c r="S20" s="4">
        <f>AVERAGE(ParseTime(RunTime1!H20),ParseTime(RunTime2!H20),ParseTime(RunTime3!H20),ParseTime(RunTime4!H20))
/
AVERAGE(ParseTime(RunTime1!I20),ParseTime(RunTime2!I20),ParseTime(RunTime3!I20),ParseTime(RunTime4!I20))</f>
        <v>0.98734659653937051</v>
      </c>
      <c r="T20" s="4">
        <f>AVERAGE(ParseTime(RunTime1!G20),ParseTime(RunTime2!G20),ParseTime(RunTime3!G20),ParseTime(RunTime4!G20))
/
AVERAGE(ParseTime(RunTime1!J20),ParseTime(RunTime2!J20),ParseTime(RunTime3!J20),ParseTime(RunTime4!J20))</f>
        <v>0.6676449009537786</v>
      </c>
      <c r="U20" t="s">
        <v>18</v>
      </c>
    </row>
    <row r="21" spans="1:21" x14ac:dyDescent="0.25">
      <c r="A21" t="s">
        <v>294</v>
      </c>
      <c r="B21" t="s">
        <v>127</v>
      </c>
      <c r="C21" t="s">
        <v>19</v>
      </c>
      <c r="D21" s="1">
        <v>208613</v>
      </c>
      <c r="E21">
        <v>2</v>
      </c>
      <c r="F21" t="s">
        <v>844</v>
      </c>
      <c r="G21" t="s">
        <v>845</v>
      </c>
      <c r="H21" t="s">
        <v>846</v>
      </c>
      <c r="I21" t="s">
        <v>1250</v>
      </c>
      <c r="J21" t="s">
        <v>1291</v>
      </c>
      <c r="K21" t="s">
        <v>659</v>
      </c>
      <c r="L21" t="s">
        <v>847</v>
      </c>
      <c r="M21" t="s">
        <v>848</v>
      </c>
      <c r="N21" t="s">
        <v>43</v>
      </c>
      <c r="O21" s="4">
        <f>AVERAGE(ParseTime(RunTime1!F21),ParseTime(RunTime2!F21),ParseTime(RunTime3!F21),ParseTime(RunTime4!F21))
/
AVERAGE(ParseTime(RunTime1!J21),ParseTime(RunTime2!J21),ParseTime(RunTime3!J21),ParseTime(RunTime4!J21))</f>
        <v>1.8814771735969757</v>
      </c>
      <c r="P21" s="4">
        <f>AVERAGE(ParseTime(RunTime1!F21),ParseTime(RunTime2!F21),ParseTime(RunTime3!F21),ParseTime(RunTime4!F21))
/
AVERAGE(ParseTime(RunTime1!I21),ParseTime(RunTime2!I21),ParseTime(RunTime3!I21),ParseTime(RunTime4!I21))</f>
        <v>2.4943716268311489</v>
      </c>
      <c r="Q21" s="4">
        <f>AVERAGE(ParseTime(RunTime1!H21),ParseTime(RunTime2!H21),ParseTime(RunTime3!H21),ParseTime(RunTime4!H21))
/
AVERAGE(ParseTime(RunTime1!J21),ParseTime(RunTime2!J21),ParseTime(RunTime3!J21),ParseTime(RunTime4!J21))</f>
        <v>1.0070950857807501</v>
      </c>
      <c r="R21" s="4">
        <f>AVERAGE(ParseTime(RunTime1!G21),ParseTime(RunTime2!G21),ParseTime(RunTime3!G21),ParseTime(RunTime4!G21))
/
AVERAGE(ParseTime(RunTime1!I21),ParseTime(RunTime2!I21),ParseTime(RunTime3!I21),ParseTime(RunTime4!I21))</f>
        <v>0.68727833461835008</v>
      </c>
      <c r="S21" s="4">
        <f>AVERAGE(ParseTime(RunTime1!H21),ParseTime(RunTime2!H21),ParseTime(RunTime3!H21),ParseTime(RunTime4!H21))
/
AVERAGE(ParseTime(RunTime1!I21),ParseTime(RunTime2!I21),ParseTime(RunTime3!I21),ParseTime(RunTime4!I21))</f>
        <v>1.3351580570547419</v>
      </c>
      <c r="T21" s="4">
        <f>AVERAGE(ParseTime(RunTime1!G21),ParseTime(RunTime2!G21),ParseTime(RunTime3!G21),ParseTime(RunTime4!G21))
/
AVERAGE(ParseTime(RunTime1!J21),ParseTime(RunTime2!J21),ParseTime(RunTime3!J21),ParseTime(RunTime4!J21))</f>
        <v>0.51840651352137246</v>
      </c>
      <c r="U21" t="s">
        <v>18</v>
      </c>
    </row>
    <row r="22" spans="1:21" x14ac:dyDescent="0.25">
      <c r="A22" t="s">
        <v>294</v>
      </c>
      <c r="B22" t="s">
        <v>139</v>
      </c>
      <c r="C22" t="s">
        <v>11</v>
      </c>
      <c r="D22" s="1">
        <v>211435</v>
      </c>
      <c r="E22">
        <v>2</v>
      </c>
      <c r="F22" t="s">
        <v>849</v>
      </c>
      <c r="G22" t="s">
        <v>850</v>
      </c>
      <c r="H22" t="s">
        <v>851</v>
      </c>
      <c r="I22" t="s">
        <v>158</v>
      </c>
      <c r="J22" t="s">
        <v>1292</v>
      </c>
      <c r="K22" t="s">
        <v>594</v>
      </c>
      <c r="L22" t="s">
        <v>852</v>
      </c>
      <c r="M22" t="s">
        <v>820</v>
      </c>
      <c r="N22" t="s">
        <v>417</v>
      </c>
      <c r="O22" s="4">
        <f>AVERAGE(ParseTime(RunTime1!F22),ParseTime(RunTime2!F22),ParseTime(RunTime3!F22),ParseTime(RunTime4!F22))
/
AVERAGE(ParseTime(RunTime1!J22),ParseTime(RunTime2!J22),ParseTime(RunTime3!J22),ParseTime(RunTime4!J22))</f>
        <v>1.8013790685443813</v>
      </c>
      <c r="P22" s="4">
        <f>AVERAGE(ParseTime(RunTime1!F22),ParseTime(RunTime2!F22),ParseTime(RunTime3!F22),ParseTime(RunTime4!F22))
/
AVERAGE(ParseTime(RunTime1!I22),ParseTime(RunTime2!I22),ParseTime(RunTime3!I22),ParseTime(RunTime4!I22))</f>
        <v>2.3766093593400663</v>
      </c>
      <c r="Q22" s="4">
        <f>AVERAGE(ParseTime(RunTime1!H22),ParseTime(RunTime2!H22),ParseTime(RunTime3!H22),ParseTime(RunTime4!H22))
/
AVERAGE(ParseTime(RunTime1!J22),ParseTime(RunTime2!J22),ParseTime(RunTime3!J22),ParseTime(RunTime4!J22))</f>
        <v>0.75679308128323497</v>
      </c>
      <c r="R22" s="4">
        <f>AVERAGE(ParseTime(RunTime1!G22),ParseTime(RunTime2!G22),ParseTime(RunTime3!G22),ParseTime(RunTime4!G22))
/
AVERAGE(ParseTime(RunTime1!I22),ParseTime(RunTime2!I22),ParseTime(RunTime3!I22),ParseTime(RunTime4!I22))</f>
        <v>0.88875183100763244</v>
      </c>
      <c r="S22" s="4">
        <f>AVERAGE(ParseTime(RunTime1!H22),ParseTime(RunTime2!H22),ParseTime(RunTime3!H22),ParseTime(RunTime4!H22))
/
AVERAGE(ParseTime(RunTime1!I22),ParseTime(RunTime2!I22),ParseTime(RunTime3!I22),ParseTime(RunTime4!I22))</f>
        <v>0.99845809883586467</v>
      </c>
      <c r="T22" s="4">
        <f>AVERAGE(ParseTime(RunTime1!G22),ParseTime(RunTime2!G22),ParseTime(RunTime3!G22),ParseTime(RunTime4!G22))
/
AVERAGE(ParseTime(RunTime1!J22),ParseTime(RunTime2!J22),ParseTime(RunTime3!J22),ParseTime(RunTime4!J22))</f>
        <v>0.67363992286565777</v>
      </c>
      <c r="U22" t="s">
        <v>18</v>
      </c>
    </row>
    <row r="23" spans="1:21" x14ac:dyDescent="0.25">
      <c r="A23" t="s">
        <v>294</v>
      </c>
      <c r="B23" t="s">
        <v>139</v>
      </c>
      <c r="C23" t="s">
        <v>19</v>
      </c>
      <c r="D23" s="1">
        <v>207634</v>
      </c>
      <c r="E23">
        <v>2</v>
      </c>
      <c r="F23" t="s">
        <v>853</v>
      </c>
      <c r="G23" t="s">
        <v>854</v>
      </c>
      <c r="H23" t="s">
        <v>855</v>
      </c>
      <c r="I23" t="s">
        <v>1251</v>
      </c>
      <c r="J23" t="s">
        <v>1293</v>
      </c>
      <c r="K23" t="s">
        <v>191</v>
      </c>
      <c r="L23" t="s">
        <v>754</v>
      </c>
      <c r="M23" t="s">
        <v>856</v>
      </c>
      <c r="N23" t="s">
        <v>36</v>
      </c>
      <c r="O23" s="4">
        <f>AVERAGE(ParseTime(RunTime1!F23),ParseTime(RunTime2!F23),ParseTime(RunTime3!F23),ParseTime(RunTime4!F23))
/
AVERAGE(ParseTime(RunTime1!J23),ParseTime(RunTime2!J23),ParseTime(RunTime3!J23),ParseTime(RunTime4!J23))</f>
        <v>1.5247655610799928</v>
      </c>
      <c r="P23" s="4">
        <f>AVERAGE(ParseTime(RunTime1!F23),ParseTime(RunTime2!F23),ParseTime(RunTime3!F23),ParseTime(RunTime4!F23))
/
AVERAGE(ParseTime(RunTime1!I23),ParseTime(RunTime2!I23),ParseTime(RunTime3!I23),ParseTime(RunTime4!I23))</f>
        <v>1.8669183940818372</v>
      </c>
      <c r="Q23" s="4">
        <f>AVERAGE(ParseTime(RunTime1!H23),ParseTime(RunTime2!H23),ParseTime(RunTime3!H23),ParseTime(RunTime4!H23))
/
AVERAGE(ParseTime(RunTime1!J23),ParseTime(RunTime2!J23),ParseTime(RunTime3!J23),ParseTime(RunTime4!J23))</f>
        <v>0.92510541884322484</v>
      </c>
      <c r="R23" s="4">
        <f>AVERAGE(ParseTime(RunTime1!G23),ParseTime(RunTime2!G23),ParseTime(RunTime3!G23),ParseTime(RunTime4!G23))
/
AVERAGE(ParseTime(RunTime1!I23),ParseTime(RunTime2!I23),ParseTime(RunTime3!I23),ParseTime(RunTime4!I23))</f>
        <v>0.96886799722586114</v>
      </c>
      <c r="S23" s="4">
        <f>AVERAGE(ParseTime(RunTime1!H23),ParseTime(RunTime2!H23),ParseTime(RunTime3!H23),ParseTime(RunTime4!H23))
/
AVERAGE(ParseTime(RunTime1!I23),ParseTime(RunTime2!I23),ParseTime(RunTime3!I23),ParseTime(RunTime4!I23))</f>
        <v>1.1326963088541264</v>
      </c>
      <c r="T23" s="4">
        <f>AVERAGE(ParseTime(RunTime1!G23),ParseTime(RunTime2!G23),ParseTime(RunTime3!G23),ParseTime(RunTime4!G23))
/
AVERAGE(ParseTime(RunTime1!J23),ParseTime(RunTime2!J23),ParseTime(RunTime3!J23),ParseTime(RunTime4!J23))</f>
        <v>0.79130215872616283</v>
      </c>
      <c r="U23" t="s">
        <v>18</v>
      </c>
    </row>
    <row r="24" spans="1:21" x14ac:dyDescent="0.25">
      <c r="A24" t="s">
        <v>294</v>
      </c>
      <c r="B24" t="s">
        <v>150</v>
      </c>
      <c r="C24" t="s">
        <v>11</v>
      </c>
      <c r="D24" s="1">
        <v>193899</v>
      </c>
      <c r="E24">
        <v>2</v>
      </c>
      <c r="F24" t="s">
        <v>857</v>
      </c>
      <c r="G24" t="s">
        <v>858</v>
      </c>
      <c r="H24" t="s">
        <v>859</v>
      </c>
      <c r="I24" t="s">
        <v>448</v>
      </c>
      <c r="J24" t="s">
        <v>1294</v>
      </c>
      <c r="K24" t="s">
        <v>331</v>
      </c>
      <c r="L24" t="s">
        <v>860</v>
      </c>
      <c r="M24" t="s">
        <v>813</v>
      </c>
      <c r="N24" t="s">
        <v>73</v>
      </c>
      <c r="O24" s="4">
        <f>AVERAGE(ParseTime(RunTime1!F24),ParseTime(RunTime2!F24),ParseTime(RunTime3!F24),ParseTime(RunTime4!F24))
/
AVERAGE(ParseTime(RunTime1!J24),ParseTime(RunTime2!J24),ParseTime(RunTime3!J24),ParseTime(RunTime4!J24))</f>
        <v>1.8694225721784781</v>
      </c>
      <c r="P24" s="4">
        <f>AVERAGE(ParseTime(RunTime1!F24),ParseTime(RunTime2!F24),ParseTime(RunTime3!F24),ParseTime(RunTime4!F24))
/
AVERAGE(ParseTime(RunTime1!I24),ParseTime(RunTime2!I24),ParseTime(RunTime3!I24),ParseTime(RunTime4!I24))</f>
        <v>2.2584225128814901</v>
      </c>
      <c r="Q24" s="4">
        <f>AVERAGE(ParseTime(RunTime1!H24),ParseTime(RunTime2!H24),ParseTime(RunTime3!H24),ParseTime(RunTime4!H24))
/
AVERAGE(ParseTime(RunTime1!J24),ParseTime(RunTime2!J24),ParseTime(RunTime3!J24),ParseTime(RunTime4!J24))</f>
        <v>0.64796587926509197</v>
      </c>
      <c r="R24" s="4">
        <f>AVERAGE(ParseTime(RunTime1!G24),ParseTime(RunTime2!G24),ParseTime(RunTime3!G24),ParseTime(RunTime4!G24))
/
AVERAGE(ParseTime(RunTime1!I24),ParseTime(RunTime2!I24),ParseTime(RunTime3!I24),ParseTime(RunTime4!I24))</f>
        <v>0.87665477606024556</v>
      </c>
      <c r="S24" s="4">
        <f>AVERAGE(ParseTime(RunTime1!H24),ParseTime(RunTime2!H24),ParseTime(RunTime3!H24),ParseTime(RunTime4!H24))
/
AVERAGE(ParseTime(RunTime1!I24),ParseTime(RunTime2!I24),ParseTime(RunTime3!I24),ParseTime(RunTime4!I24))</f>
        <v>0.78279825604439146</v>
      </c>
      <c r="T24" s="4">
        <f>AVERAGE(ParseTime(RunTime1!G24),ParseTime(RunTime2!G24),ParseTime(RunTime3!G24),ParseTime(RunTime4!G24))
/
AVERAGE(ParseTime(RunTime1!J24),ParseTime(RunTime2!J24),ParseTime(RunTime3!J24),ParseTime(RunTime4!J24))</f>
        <v>0.72565616797900268</v>
      </c>
      <c r="U24" t="s">
        <v>296</v>
      </c>
    </row>
    <row r="25" spans="1:21" x14ac:dyDescent="0.25">
      <c r="A25" t="s">
        <v>294</v>
      </c>
      <c r="B25" t="s">
        <v>150</v>
      </c>
      <c r="C25" t="s">
        <v>19</v>
      </c>
      <c r="D25" s="1">
        <v>191991</v>
      </c>
      <c r="E25">
        <v>2</v>
      </c>
      <c r="F25" t="s">
        <v>861</v>
      </c>
      <c r="G25" t="s">
        <v>862</v>
      </c>
      <c r="H25" t="s">
        <v>863</v>
      </c>
      <c r="I25" t="s">
        <v>1252</v>
      </c>
      <c r="J25" t="s">
        <v>1295</v>
      </c>
      <c r="K25" t="s">
        <v>572</v>
      </c>
      <c r="L25" t="s">
        <v>638</v>
      </c>
      <c r="M25" t="s">
        <v>733</v>
      </c>
      <c r="N25" t="s">
        <v>347</v>
      </c>
      <c r="O25" s="4">
        <f>AVERAGE(ParseTime(RunTime1!F25),ParseTime(RunTime2!F25),ParseTime(RunTime3!F25),ParseTime(RunTime4!F25))
/
AVERAGE(ParseTime(RunTime1!J25),ParseTime(RunTime2!J25),ParseTime(RunTime3!J25),ParseTime(RunTime4!J25))</f>
        <v>1.2797565374211</v>
      </c>
      <c r="P25" s="4">
        <f>AVERAGE(ParseTime(RunTime1!F25),ParseTime(RunTime2!F25),ParseTime(RunTime3!F25),ParseTime(RunTime4!F25))
/
AVERAGE(ParseTime(RunTime1!I25),ParseTime(RunTime2!I25),ParseTime(RunTime3!I25),ParseTime(RunTime4!I25))</f>
        <v>1.6999550830962717</v>
      </c>
      <c r="Q25" s="4">
        <f>AVERAGE(ParseTime(RunTime1!H25),ParseTime(RunTime2!H25),ParseTime(RunTime3!H25),ParseTime(RunTime4!H25))
/
AVERAGE(ParseTime(RunTime1!J25),ParseTime(RunTime2!J25),ParseTime(RunTime3!J25),ParseTime(RunTime4!J25))</f>
        <v>0.81762849413886385</v>
      </c>
      <c r="R25" s="4">
        <f>AVERAGE(ParseTime(RunTime1!G25),ParseTime(RunTime2!G25),ParseTime(RunTime3!G25),ParseTime(RunTime4!G25))
/
AVERAGE(ParseTime(RunTime1!I25),ParseTime(RunTime2!I25),ParseTime(RunTime3!I25),ParseTime(RunTime4!I25))</f>
        <v>0.70811498727354405</v>
      </c>
      <c r="S25" s="4">
        <f>AVERAGE(ParseTime(RunTime1!H25),ParseTime(RunTime2!H25),ParseTime(RunTime3!H25),ParseTime(RunTime4!H25))
/
AVERAGE(ParseTime(RunTime1!I25),ParseTime(RunTime2!I25),ParseTime(RunTime3!I25),ParseTime(RunTime4!I25))</f>
        <v>1.0860907321455309</v>
      </c>
      <c r="T25" s="4">
        <f>AVERAGE(ParseTime(RunTime1!G25),ParseTime(RunTime2!G25),ParseTime(RunTime3!G25),ParseTime(RunTime4!G25))
/
AVERAGE(ParseTime(RunTime1!J25),ParseTime(RunTime2!J25),ParseTime(RunTime3!J25),ParseTime(RunTime4!J25))</f>
        <v>0.53308160504959434</v>
      </c>
      <c r="U25" t="s">
        <v>18</v>
      </c>
    </row>
    <row r="26" spans="1:21" x14ac:dyDescent="0.25">
      <c r="A26" t="s">
        <v>294</v>
      </c>
      <c r="B26" t="s">
        <v>162</v>
      </c>
      <c r="C26" t="s">
        <v>11</v>
      </c>
      <c r="D26" s="1">
        <v>159967</v>
      </c>
      <c r="E26">
        <v>2</v>
      </c>
      <c r="F26" t="s">
        <v>864</v>
      </c>
      <c r="G26" t="s">
        <v>865</v>
      </c>
      <c r="H26" t="s">
        <v>866</v>
      </c>
      <c r="I26" t="s">
        <v>1253</v>
      </c>
      <c r="J26" t="s">
        <v>1296</v>
      </c>
      <c r="K26" t="s">
        <v>204</v>
      </c>
      <c r="L26" t="s">
        <v>867</v>
      </c>
      <c r="M26" t="s">
        <v>868</v>
      </c>
      <c r="N26" t="s">
        <v>98</v>
      </c>
      <c r="O26" s="4">
        <f>AVERAGE(ParseTime(RunTime1!F26),ParseTime(RunTime2!F26),ParseTime(RunTime3!F26),ParseTime(RunTime4!F26))
/
AVERAGE(ParseTime(RunTime1!J26),ParseTime(RunTime2!J26),ParseTime(RunTime3!J26),ParseTime(RunTime4!J26))</f>
        <v>162.23421854592948</v>
      </c>
      <c r="P26" s="4">
        <f>AVERAGE(ParseTime(RunTime1!F26),ParseTime(RunTime2!F26),ParseTime(RunTime3!F26),ParseTime(RunTime4!F26))
/
AVERAGE(ParseTime(RunTime1!I26),ParseTime(RunTime2!I26),ParseTime(RunTime3!I26),ParseTime(RunTime4!I26))</f>
        <v>190.56609562771672</v>
      </c>
      <c r="Q26" s="4">
        <f>AVERAGE(ParseTime(RunTime1!H26),ParseTime(RunTime2!H26),ParseTime(RunTime3!H26),ParseTime(RunTime4!H26))
/
AVERAGE(ParseTime(RunTime1!J26),ParseTime(RunTime2!J26),ParseTime(RunTime3!J26),ParseTime(RunTime4!J26))</f>
        <v>0.9254099550137862</v>
      </c>
      <c r="R26" s="4">
        <f>AVERAGE(ParseTime(RunTime1!G26),ParseTime(RunTime2!G26),ParseTime(RunTime3!G26),ParseTime(RunTime4!G26))
/
AVERAGE(ParseTime(RunTime1!I26),ParseTime(RunTime2!I26),ParseTime(RunTime3!I26),ParseTime(RunTime4!I26))</f>
        <v>0.75087360436376038</v>
      </c>
      <c r="S26" s="4">
        <f>AVERAGE(ParseTime(RunTime1!H26),ParseTime(RunTime2!H26),ParseTime(RunTime3!H26),ParseTime(RunTime4!H26))
/
AVERAGE(ParseTime(RunTime1!I26),ParseTime(RunTime2!I26),ParseTime(RunTime3!I26),ParseTime(RunTime4!I26))</f>
        <v>1.087019517599932</v>
      </c>
      <c r="T26" s="4">
        <f>AVERAGE(ParseTime(RunTime1!G26),ParseTime(RunTime2!G26),ParseTime(RunTime3!G26),ParseTime(RunTime4!G26))
/
AVERAGE(ParseTime(RunTime1!J26),ParseTime(RunTime2!J26),ParseTime(RunTime3!J26),ParseTime(RunTime4!J26))</f>
        <v>0.63923958786823398</v>
      </c>
      <c r="U26" t="s">
        <v>18</v>
      </c>
    </row>
    <row r="27" spans="1:21" x14ac:dyDescent="0.25">
      <c r="A27" t="s">
        <v>294</v>
      </c>
      <c r="B27" t="s">
        <v>162</v>
      </c>
      <c r="C27" t="s">
        <v>19</v>
      </c>
      <c r="D27" s="1">
        <v>159427</v>
      </c>
      <c r="E27">
        <v>2</v>
      </c>
      <c r="F27" t="s">
        <v>869</v>
      </c>
      <c r="G27" t="s">
        <v>870</v>
      </c>
      <c r="H27" t="s">
        <v>319</v>
      </c>
      <c r="I27" t="s">
        <v>1254</v>
      </c>
      <c r="J27" t="s">
        <v>1297</v>
      </c>
      <c r="K27" t="s">
        <v>111</v>
      </c>
      <c r="L27" t="s">
        <v>871</v>
      </c>
      <c r="M27" t="s">
        <v>872</v>
      </c>
      <c r="N27" t="s">
        <v>98</v>
      </c>
      <c r="O27" s="4">
        <f>AVERAGE(ParseTime(RunTime1!F27),ParseTime(RunTime2!F27),ParseTime(RunTime3!F27),ParseTime(RunTime4!F27))
/
AVERAGE(ParseTime(RunTime1!J27),ParseTime(RunTime2!J27),ParseTime(RunTime3!J27),ParseTime(RunTime4!J27))</f>
        <v>186.04765419947506</v>
      </c>
      <c r="P27" s="4">
        <f>AVERAGE(ParseTime(RunTime1!F27),ParseTime(RunTime2!F27),ParseTime(RunTime3!F27),ParseTime(RunTime4!F27))
/
AVERAGE(ParseTime(RunTime1!I27),ParseTime(RunTime2!I27),ParseTime(RunTime3!I27),ParseTime(RunTime4!I27))</f>
        <v>191.01414736842105</v>
      </c>
      <c r="Q27" s="4">
        <f>AVERAGE(ParseTime(RunTime1!H27),ParseTime(RunTime2!H27),ParseTime(RunTime3!H27),ParseTime(RunTime4!H27))
/
AVERAGE(ParseTime(RunTime1!J27),ParseTime(RunTime2!J27),ParseTime(RunTime3!J27),ParseTime(RunTime4!J27))</f>
        <v>1.3914041994750654</v>
      </c>
      <c r="R27" s="4">
        <f>AVERAGE(ParseTime(RunTime1!G27),ParseTime(RunTime2!G27),ParseTime(RunTime3!G27),ParseTime(RunTime4!G27))
/
AVERAGE(ParseTime(RunTime1!I27),ParseTime(RunTime2!I27),ParseTime(RunTime3!I27),ParseTime(RunTime4!I27))</f>
        <v>0.6266947368421053</v>
      </c>
      <c r="S27" s="4">
        <f>AVERAGE(ParseTime(RunTime1!H27),ParseTime(RunTime2!H27),ParseTime(RunTime3!H27),ParseTime(RunTime4!H27))
/
AVERAGE(ParseTime(RunTime1!I27),ParseTime(RunTime2!I27),ParseTime(RunTime3!I27),ParseTime(RunTime4!I27))</f>
        <v>1.4285473684210526</v>
      </c>
      <c r="T27" s="4">
        <f>AVERAGE(ParseTime(RunTime1!G27),ParseTime(RunTime2!G27),ParseTime(RunTime3!G27),ParseTime(RunTime4!G27))
/
AVERAGE(ParseTime(RunTime1!J27),ParseTime(RunTime2!J27),ParseTime(RunTime3!J27),ParseTime(RunTime4!J27))</f>
        <v>0.61040026246719159</v>
      </c>
      <c r="U27" t="s">
        <v>18</v>
      </c>
    </row>
    <row r="28" spans="1:21" x14ac:dyDescent="0.25">
      <c r="A28" t="s">
        <v>294</v>
      </c>
      <c r="B28" t="s">
        <v>174</v>
      </c>
      <c r="C28" t="s">
        <v>11</v>
      </c>
      <c r="D28" s="1">
        <v>128463</v>
      </c>
      <c r="E28">
        <v>2</v>
      </c>
      <c r="F28" t="s">
        <v>873</v>
      </c>
      <c r="G28" t="s">
        <v>874</v>
      </c>
      <c r="H28" t="s">
        <v>875</v>
      </c>
      <c r="I28" t="s">
        <v>1255</v>
      </c>
      <c r="J28" t="s">
        <v>1298</v>
      </c>
      <c r="K28" t="s">
        <v>659</v>
      </c>
      <c r="L28" t="s">
        <v>876</v>
      </c>
      <c r="M28" t="s">
        <v>877</v>
      </c>
      <c r="N28" t="s">
        <v>1316</v>
      </c>
      <c r="O28" s="4">
        <f>AVERAGE(ParseTime(RunTime1!F28),ParseTime(RunTime2!F28),ParseTime(RunTime3!F28),ParseTime(RunTime4!F28))
/
AVERAGE(ParseTime(RunTime1!J28),ParseTime(RunTime2!J28),ParseTime(RunTime3!J28),ParseTime(RunTime4!J28))</f>
        <v>191.62394833007565</v>
      </c>
      <c r="P28" s="4">
        <f>AVERAGE(ParseTime(RunTime1!F28),ParseTime(RunTime2!F28),ParseTime(RunTime3!F28),ParseTime(RunTime4!F28))
/
AVERAGE(ParseTime(RunTime1!I28),ParseTime(RunTime2!I28),ParseTime(RunTime3!I28),ParseTime(RunTime4!I28))</f>
        <v>169.70264167983746</v>
      </c>
      <c r="Q28" s="4">
        <f>AVERAGE(ParseTime(RunTime1!H28),ParseTime(RunTime2!H28),ParseTime(RunTime3!H28),ParseTime(RunTime4!H28))
/
AVERAGE(ParseTime(RunTime1!J28),ParseTime(RunTime2!J28),ParseTime(RunTime3!J28),ParseTime(RunTime4!J28))</f>
        <v>0.97441998810232022</v>
      </c>
      <c r="R28" s="4">
        <f>AVERAGE(ParseTime(RunTime1!G28),ParseTime(RunTime2!G28),ParseTime(RunTime3!G28),ParseTime(RunTime4!G28))
/
AVERAGE(ParseTime(RunTime1!I28),ParseTime(RunTime2!I28),ParseTime(RunTime3!I28),ParseTime(RunTime4!I28))</f>
        <v>0.70512531045382709</v>
      </c>
      <c r="S28" s="4">
        <f>AVERAGE(ParseTime(RunTime1!H28),ParseTime(RunTime2!H28),ParseTime(RunTime3!H28),ParseTime(RunTime4!H28))
/
AVERAGE(ParseTime(RunTime1!I28),ParseTime(RunTime2!I28),ParseTime(RunTime3!I28),ParseTime(RunTime4!I28))</f>
        <v>0.86294874689546186</v>
      </c>
      <c r="T28" s="4">
        <f>AVERAGE(ParseTime(RunTime1!G28),ParseTime(RunTime2!G28),ParseTime(RunTime3!G28),ParseTime(RunTime4!G28))
/
AVERAGE(ParseTime(RunTime1!J28),ParseTime(RunTime2!J28),ParseTime(RunTime3!J28),ParseTime(RunTime4!J28))</f>
        <v>0.79620973910087534</v>
      </c>
      <c r="U28" t="s">
        <v>18</v>
      </c>
    </row>
    <row r="29" spans="1:21" x14ac:dyDescent="0.25">
      <c r="A29" t="s">
        <v>294</v>
      </c>
      <c r="B29" t="s">
        <v>174</v>
      </c>
      <c r="C29" t="s">
        <v>19</v>
      </c>
      <c r="D29" s="1">
        <v>128992</v>
      </c>
      <c r="E29">
        <v>2</v>
      </c>
      <c r="F29" t="s">
        <v>878</v>
      </c>
      <c r="G29" t="s">
        <v>879</v>
      </c>
      <c r="H29" t="s">
        <v>880</v>
      </c>
      <c r="I29" t="s">
        <v>1256</v>
      </c>
      <c r="J29" t="s">
        <v>1299</v>
      </c>
      <c r="K29" t="s">
        <v>385</v>
      </c>
      <c r="L29" t="s">
        <v>881</v>
      </c>
      <c r="M29" t="s">
        <v>882</v>
      </c>
      <c r="N29" t="s">
        <v>80</v>
      </c>
      <c r="O29" s="4">
        <f>AVERAGE(ParseTime(RunTime1!F29),ParseTime(RunTime2!F29),ParseTime(RunTime3!F29),ParseTime(RunTime4!F29))
/
AVERAGE(ParseTime(RunTime1!J29),ParseTime(RunTime2!J29),ParseTime(RunTime3!J29),ParseTime(RunTime4!J29))</f>
        <v>156.05231484647473</v>
      </c>
      <c r="P29" s="4">
        <f>AVERAGE(ParseTime(RunTime1!F29),ParseTime(RunTime2!F29),ParseTime(RunTime3!F29),ParseTime(RunTime4!F29))
/
AVERAGE(ParseTime(RunTime1!I29),ParseTime(RunTime2!I29),ParseTime(RunTime3!I29),ParseTime(RunTime4!I29))</f>
        <v>190.16274999999999</v>
      </c>
      <c r="Q29" s="4">
        <f>AVERAGE(ParseTime(RunTime1!H29),ParseTime(RunTime2!H29),ParseTime(RunTime3!H29),ParseTime(RunTime4!H29))
/
AVERAGE(ParseTime(RunTime1!J29),ParseTime(RunTime2!J29),ParseTime(RunTime3!J29),ParseTime(RunTime4!J29))</f>
        <v>0.48061273336524646</v>
      </c>
      <c r="R29" s="4">
        <f>AVERAGE(ParseTime(RunTime1!G29),ParseTime(RunTime2!G29),ParseTime(RunTime3!G29),ParseTime(RunTime4!G29))
/
AVERAGE(ParseTime(RunTime1!I29),ParseTime(RunTime2!I29),ParseTime(RunTime3!I29),ParseTime(RunTime4!I29))</f>
        <v>0.87608333333333333</v>
      </c>
      <c r="S29" s="4">
        <f>AVERAGE(ParseTime(RunTime1!H29),ParseTime(RunTime2!H29),ParseTime(RunTime3!H29),ParseTime(RunTime4!H29))
/
AVERAGE(ParseTime(RunTime1!I29),ParseTime(RunTime2!I29),ParseTime(RunTime3!I29),ParseTime(RunTime4!I29))</f>
        <v>0.58566666666666667</v>
      </c>
      <c r="T29" s="4">
        <f>AVERAGE(ParseTime(RunTime1!G29),ParseTime(RunTime2!G29),ParseTime(RunTime3!G29),ParseTime(RunTime4!G29))
/
AVERAGE(ParseTime(RunTime1!J29),ParseTime(RunTime2!J29),ParseTime(RunTime3!J29),ParseTime(RunTime4!J29))</f>
        <v>0.71893592286124597</v>
      </c>
      <c r="U29" t="s">
        <v>18</v>
      </c>
    </row>
    <row r="30" spans="1:21" x14ac:dyDescent="0.25">
      <c r="A30" t="s">
        <v>294</v>
      </c>
      <c r="B30" t="s">
        <v>187</v>
      </c>
      <c r="C30" t="s">
        <v>11</v>
      </c>
      <c r="D30" s="1">
        <v>123182</v>
      </c>
      <c r="E30">
        <v>2</v>
      </c>
      <c r="F30" t="s">
        <v>883</v>
      </c>
      <c r="G30" t="s">
        <v>884</v>
      </c>
      <c r="H30" t="s">
        <v>885</v>
      </c>
      <c r="I30" t="s">
        <v>1257</v>
      </c>
      <c r="J30" t="s">
        <v>1300</v>
      </c>
      <c r="K30" t="s">
        <v>327</v>
      </c>
      <c r="L30" t="s">
        <v>886</v>
      </c>
      <c r="M30" t="s">
        <v>887</v>
      </c>
      <c r="N30" t="s">
        <v>184</v>
      </c>
      <c r="O30" s="4">
        <f>AVERAGE(ParseTime(RunTime1!F30),ParseTime(RunTime2!F30),ParseTime(RunTime3!F30),ParseTime(RunTime4!F30))
/
AVERAGE(ParseTime(RunTime1!J30),ParseTime(RunTime2!J30),ParseTime(RunTime3!J30),ParseTime(RunTime4!J30))</f>
        <v>218.40197986293259</v>
      </c>
      <c r="P30" s="4">
        <f>AVERAGE(ParseTime(RunTime1!F30),ParseTime(RunTime2!F30),ParseTime(RunTime3!F30),ParseTime(RunTime4!F30))
/
AVERAGE(ParseTime(RunTime1!I30),ParseTime(RunTime2!I30),ParseTime(RunTime3!I30),ParseTime(RunTime4!I30))</f>
        <v>234.7270164590343</v>
      </c>
      <c r="Q30" s="4">
        <f>AVERAGE(ParseTime(RunTime1!H30),ParseTime(RunTime2!H30),ParseTime(RunTime3!H30),ParseTime(RunTime4!H30))
/
AVERAGE(ParseTime(RunTime1!J30),ParseTime(RunTime2!J30),ParseTime(RunTime3!J30),ParseTime(RunTime4!J30))</f>
        <v>0.64210170065149341</v>
      </c>
      <c r="R30" s="4">
        <f>AVERAGE(ParseTime(RunTime1!G30),ParseTime(RunTime2!G30),ParseTime(RunTime3!G30),ParseTime(RunTime4!G30))
/
AVERAGE(ParseTime(RunTime1!I30),ParseTime(RunTime2!I30),ParseTime(RunTime3!I30),ParseTime(RunTime4!I30))</f>
        <v>1.0204601254887697</v>
      </c>
      <c r="S30" s="4">
        <f>AVERAGE(ParseTime(RunTime1!H30),ParseTime(RunTime2!H30),ParseTime(RunTime3!H30),ParseTime(RunTime4!H30))
/
AVERAGE(ParseTime(RunTime1!I30),ParseTime(RunTime2!I30),ParseTime(RunTime3!I30),ParseTime(RunTime4!I30))</f>
        <v>0.69009729926343555</v>
      </c>
      <c r="T30" s="4">
        <f>AVERAGE(ParseTime(RunTime1!G30),ParseTime(RunTime2!G30),ParseTime(RunTime3!G30),ParseTime(RunTime4!G30))
/
AVERAGE(ParseTime(RunTime1!J30),ParseTime(RunTime2!J30),ParseTime(RunTime3!J30),ParseTime(RunTime4!J30))</f>
        <v>0.94948811236145203</v>
      </c>
      <c r="U30" t="s">
        <v>18</v>
      </c>
    </row>
    <row r="31" spans="1:21" x14ac:dyDescent="0.25">
      <c r="A31" t="s">
        <v>294</v>
      </c>
      <c r="B31" t="s">
        <v>187</v>
      </c>
      <c r="C31" t="s">
        <v>19</v>
      </c>
      <c r="D31" s="1">
        <v>117982</v>
      </c>
      <c r="E31">
        <v>2</v>
      </c>
      <c r="F31" t="s">
        <v>888</v>
      </c>
      <c r="G31" t="s">
        <v>889</v>
      </c>
      <c r="H31" t="s">
        <v>727</v>
      </c>
      <c r="I31" t="s">
        <v>1258</v>
      </c>
      <c r="J31" t="s">
        <v>1301</v>
      </c>
      <c r="K31" t="s">
        <v>252</v>
      </c>
      <c r="L31" t="s">
        <v>890</v>
      </c>
      <c r="M31" t="s">
        <v>891</v>
      </c>
      <c r="N31" t="s">
        <v>230</v>
      </c>
      <c r="O31" s="4">
        <f>AVERAGE(ParseTime(RunTime1!F31),ParseTime(RunTime2!F31),ParseTime(RunTime3!F31),ParseTime(RunTime4!F31))
/
AVERAGE(ParseTime(RunTime1!J31),ParseTime(RunTime2!J31),ParseTime(RunTime3!J31),ParseTime(RunTime4!J31))</f>
        <v>222.00077246588276</v>
      </c>
      <c r="P31" s="4">
        <f>AVERAGE(ParseTime(RunTime1!F31),ParseTime(RunTime2!F31),ParseTime(RunTime3!F31),ParseTime(RunTime4!F31))
/
AVERAGE(ParseTime(RunTime1!I31),ParseTime(RunTime2!I31),ParseTime(RunTime3!I31),ParseTime(RunTime4!I31))</f>
        <v>213.76289256198348</v>
      </c>
      <c r="Q31" s="4">
        <f>AVERAGE(ParseTime(RunTime1!H31),ParseTime(RunTime2!H31),ParseTime(RunTime3!H31),ParseTime(RunTime4!H31))
/
AVERAGE(ParseTime(RunTime1!J31),ParseTime(RunTime2!J31),ParseTime(RunTime3!J31),ParseTime(RunTime4!J31))</f>
        <v>0.88095442451291728</v>
      </c>
      <c r="R31" s="4">
        <f>AVERAGE(ParseTime(RunTime1!G31),ParseTime(RunTime2!G31),ParseTime(RunTime3!G31),ParseTime(RunTime4!G31))
/
AVERAGE(ParseTime(RunTime1!I31),ParseTime(RunTime2!I31),ParseTime(RunTime3!I31),ParseTime(RunTime4!I31))</f>
        <v>0.79157024793388431</v>
      </c>
      <c r="S31" s="4">
        <f>AVERAGE(ParseTime(RunTime1!H31),ParseTime(RunTime2!H31),ParseTime(RunTime3!H31),ParseTime(RunTime4!H31))
/
AVERAGE(ParseTime(RunTime1!I31),ParseTime(RunTime2!I31),ParseTime(RunTime3!I31),ParseTime(RunTime4!I31))</f>
        <v>0.8482644628099173</v>
      </c>
      <c r="T31" s="4">
        <f>AVERAGE(ParseTime(RunTime1!G31),ParseTime(RunTime2!G31),ParseTime(RunTime3!G31),ParseTime(RunTime4!G31))
/
AVERAGE(ParseTime(RunTime1!J31),ParseTime(RunTime2!J31),ParseTime(RunTime3!J31),ParseTime(RunTime4!J31))</f>
        <v>0.82207535833834</v>
      </c>
      <c r="U31" t="s">
        <v>18</v>
      </c>
    </row>
    <row r="32" spans="1:21" x14ac:dyDescent="0.25">
      <c r="A32" t="s">
        <v>294</v>
      </c>
      <c r="B32" t="s">
        <v>200</v>
      </c>
      <c r="C32" t="s">
        <v>11</v>
      </c>
      <c r="D32" s="1">
        <v>124026</v>
      </c>
      <c r="E32">
        <v>2</v>
      </c>
      <c r="F32" t="s">
        <v>892</v>
      </c>
      <c r="G32" t="s">
        <v>893</v>
      </c>
      <c r="H32" t="s">
        <v>894</v>
      </c>
      <c r="I32" t="s">
        <v>1259</v>
      </c>
      <c r="J32" t="s">
        <v>1302</v>
      </c>
      <c r="K32" t="s">
        <v>204</v>
      </c>
      <c r="L32" t="s">
        <v>895</v>
      </c>
      <c r="M32" t="s">
        <v>896</v>
      </c>
      <c r="N32" t="s">
        <v>245</v>
      </c>
      <c r="O32" s="4">
        <f>AVERAGE(ParseTime(RunTime1!F32),ParseTime(RunTime2!F32),ParseTime(RunTime3!F32),ParseTime(RunTime4!F32))
/
AVERAGE(ParseTime(RunTime1!J32),ParseTime(RunTime2!J32),ParseTime(RunTime3!J32),ParseTime(RunTime4!J32))</f>
        <v>27.085853518704315</v>
      </c>
      <c r="P32" s="4">
        <f>AVERAGE(ParseTime(RunTime1!F32),ParseTime(RunTime2!F32),ParseTime(RunTime3!F32),ParseTime(RunTime4!F32))
/
AVERAGE(ParseTime(RunTime1!I32),ParseTime(RunTime2!I32),ParseTime(RunTime3!I32),ParseTime(RunTime4!I32))</f>
        <v>31.646654944318847</v>
      </c>
      <c r="Q32" s="4">
        <f>AVERAGE(ParseTime(RunTime1!H32),ParseTime(RunTime2!H32),ParseTime(RunTime3!H32),ParseTime(RunTime4!H32))
/
AVERAGE(ParseTime(RunTime1!J32),ParseTime(RunTime2!J32),ParseTime(RunTime3!J32),ParseTime(RunTime4!J32))</f>
        <v>0.42145621327218008</v>
      </c>
      <c r="R32" s="4">
        <f>AVERAGE(ParseTime(RunTime1!G32),ParseTime(RunTime2!G32),ParseTime(RunTime3!G32),ParseTime(RunTime4!G32))
/
AVERAGE(ParseTime(RunTime1!I32),ParseTime(RunTime2!I32),ParseTime(RunTime3!I32),ParseTime(RunTime4!I32))</f>
        <v>0.63870049401322959</v>
      </c>
      <c r="S32" s="4">
        <f>AVERAGE(ParseTime(RunTime1!H32),ParseTime(RunTime2!H32),ParseTime(RunTime3!H32),ParseTime(RunTime4!H32))
/
AVERAGE(ParseTime(RunTime1!I32),ParseTime(RunTime2!I32),ParseTime(RunTime3!I32),ParseTime(RunTime4!I32))</f>
        <v>0.49242233944570046</v>
      </c>
      <c r="T32" s="4">
        <f>AVERAGE(ParseTime(RunTime1!G32),ParseTime(RunTime2!G32),ParseTime(RunTime3!G32),ParseTime(RunTime4!G32))
/
AVERAGE(ParseTime(RunTime1!J32),ParseTime(RunTime2!J32),ParseTime(RunTime3!J32),ParseTime(RunTime4!J32))</f>
        <v>0.54665328937938951</v>
      </c>
      <c r="U32" t="s">
        <v>18</v>
      </c>
    </row>
    <row r="33" spans="1:21" x14ac:dyDescent="0.25">
      <c r="A33" t="s">
        <v>294</v>
      </c>
      <c r="B33" t="s">
        <v>200</v>
      </c>
      <c r="C33" t="s">
        <v>19</v>
      </c>
      <c r="D33" s="1">
        <v>122501</v>
      </c>
      <c r="E33">
        <v>2</v>
      </c>
      <c r="F33" t="s">
        <v>897</v>
      </c>
      <c r="G33" t="s">
        <v>898</v>
      </c>
      <c r="H33" t="s">
        <v>899</v>
      </c>
      <c r="I33" t="s">
        <v>1260</v>
      </c>
      <c r="J33" t="s">
        <v>1303</v>
      </c>
      <c r="K33" t="s">
        <v>230</v>
      </c>
      <c r="L33" t="s">
        <v>900</v>
      </c>
      <c r="M33" t="s">
        <v>901</v>
      </c>
      <c r="N33" t="s">
        <v>1056</v>
      </c>
      <c r="O33" s="4">
        <f>AVERAGE(ParseTime(RunTime1!F33),ParseTime(RunTime2!F33),ParseTime(RunTime3!F33),ParseTime(RunTime4!F33))
/
AVERAGE(ParseTime(RunTime1!J33),ParseTime(RunTime2!J33),ParseTime(RunTime3!J33),ParseTime(RunTime4!J33))</f>
        <v>30.650068598176098</v>
      </c>
      <c r="P33" s="4">
        <f>AVERAGE(ParseTime(RunTime1!F33),ParseTime(RunTime2!F33),ParseTime(RunTime3!F33),ParseTime(RunTime4!F33))
/
AVERAGE(ParseTime(RunTime1!I33),ParseTime(RunTime2!I33),ParseTime(RunTime3!I33),ParseTime(RunTime4!I33))</f>
        <v>37.613647618104395</v>
      </c>
      <c r="Q33" s="4">
        <f>AVERAGE(ParseTime(RunTime1!H33),ParseTime(RunTime2!H33),ParseTime(RunTime3!H33),ParseTime(RunTime4!H33))
/
AVERAGE(ParseTime(RunTime1!J33),ParseTime(RunTime2!J33),ParseTime(RunTime3!J33),ParseTime(RunTime4!J33))</f>
        <v>0.5714631587442498</v>
      </c>
      <c r="R33" s="4">
        <f>AVERAGE(ParseTime(RunTime1!G33),ParseTime(RunTime2!G33),ParseTime(RunTime3!G33),ParseTime(RunTime4!G33))
/
AVERAGE(ParseTime(RunTime1!I33),ParseTime(RunTime2!I33),ParseTime(RunTime3!I33),ParseTime(RunTime4!I33))</f>
        <v>0.7834010102010498</v>
      </c>
      <c r="S33" s="4">
        <f>AVERAGE(ParseTime(RunTime1!H33),ParseTime(RunTime2!H33),ParseTime(RunTime3!H33),ParseTime(RunTime4!H33))
/
AVERAGE(ParseTime(RunTime1!I33),ParseTime(RunTime2!I33),ParseTime(RunTime3!I33),ParseTime(RunTime4!I33))</f>
        <v>0.70129741507378429</v>
      </c>
      <c r="T33" s="4">
        <f>AVERAGE(ParseTime(RunTime1!G33),ParseTime(RunTime2!G33),ParseTime(RunTime3!G33),ParseTime(RunTime4!G33))
/
AVERAGE(ParseTime(RunTime1!J33),ParseTime(RunTime2!J33),ParseTime(RunTime3!J33),ParseTime(RunTime4!J33))</f>
        <v>0.63836655637155992</v>
      </c>
      <c r="U33" t="s">
        <v>18</v>
      </c>
    </row>
    <row r="34" spans="1:21" x14ac:dyDescent="0.25">
      <c r="A34" t="s">
        <v>294</v>
      </c>
      <c r="B34" t="s">
        <v>213</v>
      </c>
      <c r="C34" t="s">
        <v>11</v>
      </c>
      <c r="D34" s="1">
        <v>116275</v>
      </c>
      <c r="E34">
        <v>2</v>
      </c>
      <c r="F34" t="s">
        <v>902</v>
      </c>
      <c r="G34" t="s">
        <v>903</v>
      </c>
      <c r="H34" t="s">
        <v>904</v>
      </c>
      <c r="I34" t="s">
        <v>1261</v>
      </c>
      <c r="J34" t="s">
        <v>1304</v>
      </c>
      <c r="K34" t="s">
        <v>210</v>
      </c>
      <c r="L34" t="s">
        <v>905</v>
      </c>
      <c r="M34" t="s">
        <v>906</v>
      </c>
      <c r="N34" t="s">
        <v>268</v>
      </c>
      <c r="O34" s="4">
        <f>AVERAGE(ParseTime(RunTime1!F34),ParseTime(RunTime2!F34),ParseTime(RunTime3!F34),ParseTime(RunTime4!F34))
/
AVERAGE(ParseTime(RunTime1!J34),ParseTime(RunTime2!J34),ParseTime(RunTime3!J34),ParseTime(RunTime4!J34))</f>
        <v>1.9758671226184661</v>
      </c>
      <c r="P34" s="4">
        <f>AVERAGE(ParseTime(RunTime1!F34),ParseTime(RunTime2!F34),ParseTime(RunTime3!F34),ParseTime(RunTime4!F34))
/
AVERAGE(ParseTime(RunTime1!I34),ParseTime(RunTime2!I34),ParseTime(RunTime3!I34),ParseTime(RunTime4!I34))</f>
        <v>2.0743666017027387</v>
      </c>
      <c r="Q34" s="4">
        <f>AVERAGE(ParseTime(RunTime1!H34),ParseTime(RunTime2!H34),ParseTime(RunTime3!H34),ParseTime(RunTime4!H34))
/
AVERAGE(ParseTime(RunTime1!J34),ParseTime(RunTime2!J34),ParseTime(RunTime3!J34),ParseTime(RunTime4!J34))</f>
        <v>0.69653150952613585</v>
      </c>
      <c r="R34" s="4">
        <f>AVERAGE(ParseTime(RunTime1!G34),ParseTime(RunTime2!G34),ParseTime(RunTime3!G34),ParseTime(RunTime4!G34))
/
AVERAGE(ParseTime(RunTime1!I34),ParseTime(RunTime2!I34),ParseTime(RunTime3!I34),ParseTime(RunTime4!I34))</f>
        <v>0.80705713406503232</v>
      </c>
      <c r="S34" s="4">
        <f>AVERAGE(ParseTime(RunTime1!H34),ParseTime(RunTime2!H34),ParseTime(RunTime3!H34),ParseTime(RunTime4!H34))
/
AVERAGE(ParseTime(RunTime1!I34),ParseTime(RunTime2!I34),ParseTime(RunTime3!I34),ParseTime(RunTime4!I34))</f>
        <v>0.73125448763975798</v>
      </c>
      <c r="T34" s="4">
        <f>AVERAGE(ParseTime(RunTime1!G34),ParseTime(RunTime2!G34),ParseTime(RunTime3!G34),ParseTime(RunTime4!G34))
/
AVERAGE(ParseTime(RunTime1!J34),ParseTime(RunTime2!J34),ParseTime(RunTime3!J34),ParseTime(RunTime4!J34))</f>
        <v>0.76873473375671708</v>
      </c>
      <c r="U34" t="s">
        <v>18</v>
      </c>
    </row>
    <row r="35" spans="1:21" x14ac:dyDescent="0.25">
      <c r="A35" t="s">
        <v>294</v>
      </c>
      <c r="B35" t="s">
        <v>213</v>
      </c>
      <c r="C35" t="s">
        <v>19</v>
      </c>
      <c r="D35" s="1">
        <v>108110</v>
      </c>
      <c r="E35">
        <v>2</v>
      </c>
      <c r="F35" t="s">
        <v>907</v>
      </c>
      <c r="G35" t="s">
        <v>908</v>
      </c>
      <c r="H35" t="s">
        <v>909</v>
      </c>
      <c r="I35" t="s">
        <v>1262</v>
      </c>
      <c r="J35" t="s">
        <v>1305</v>
      </c>
      <c r="K35" t="s">
        <v>15</v>
      </c>
      <c r="L35" t="s">
        <v>910</v>
      </c>
      <c r="M35" t="s">
        <v>911</v>
      </c>
      <c r="N35" t="s">
        <v>36</v>
      </c>
      <c r="O35" s="4">
        <f>AVERAGE(ParseTime(RunTime1!F35),ParseTime(RunTime2!F35),ParseTime(RunTime3!F35),ParseTime(RunTime4!F35))
/
AVERAGE(ParseTime(RunTime1!J35),ParseTime(RunTime2!J35),ParseTime(RunTime3!J35),ParseTime(RunTime4!J35))</f>
        <v>1.7929200598304804</v>
      </c>
      <c r="P35" s="4">
        <f>AVERAGE(ParseTime(RunTime1!F35),ParseTime(RunTime2!F35),ParseTime(RunTime3!F35),ParseTime(RunTime4!F35))
/
AVERAGE(ParseTime(RunTime1!I35),ParseTime(RunTime2!I35),ParseTime(RunTime3!I35),ParseTime(RunTime4!I35))</f>
        <v>1.8360990553995407</v>
      </c>
      <c r="Q35" s="4">
        <f>AVERAGE(ParseTime(RunTime1!H35),ParseTime(RunTime2!H35),ParseTime(RunTime3!H35),ParseTime(RunTime4!H35))
/
AVERAGE(ParseTime(RunTime1!J35),ParseTime(RunTime2!J35),ParseTime(RunTime3!J35),ParseTime(RunTime4!J35))</f>
        <v>0.54852916735914903</v>
      </c>
      <c r="R35" s="4">
        <f>AVERAGE(ParseTime(RunTime1!G35),ParseTime(RunTime2!G35),ParseTime(RunTime3!G35),ParseTime(RunTime4!G35))
/
AVERAGE(ParseTime(RunTime1!I35),ParseTime(RunTime2!I35),ParseTime(RunTime3!I35),ParseTime(RunTime4!I35))</f>
        <v>0.51238192494255808</v>
      </c>
      <c r="S35" s="4">
        <f>AVERAGE(ParseTime(RunTime1!H35),ParseTime(RunTime2!H35),ParseTime(RunTime3!H35),ParseTime(RunTime4!H35))
/
AVERAGE(ParseTime(RunTime1!I35),ParseTime(RunTime2!I35),ParseTime(RunTime3!I35),ParseTime(RunTime4!I35))</f>
        <v>0.56173942643179298</v>
      </c>
      <c r="T35" s="4">
        <f>AVERAGE(ParseTime(RunTime1!G35),ParseTime(RunTime2!G35),ParseTime(RunTime3!G35),ParseTime(RunTime4!G35))
/
AVERAGE(ParseTime(RunTime1!J35),ParseTime(RunTime2!J35),ParseTime(RunTime3!J35),ParseTime(RunTime4!J35))</f>
        <v>0.50033239155725451</v>
      </c>
      <c r="U35" t="s">
        <v>18</v>
      </c>
    </row>
    <row r="36" spans="1:21" x14ac:dyDescent="0.25">
      <c r="A36" t="s">
        <v>294</v>
      </c>
      <c r="B36" t="s">
        <v>226</v>
      </c>
      <c r="C36" t="s">
        <v>11</v>
      </c>
      <c r="D36" s="1">
        <v>120233</v>
      </c>
      <c r="E36">
        <v>2</v>
      </c>
      <c r="F36" t="s">
        <v>912</v>
      </c>
      <c r="G36" t="s">
        <v>913</v>
      </c>
      <c r="H36" t="s">
        <v>914</v>
      </c>
      <c r="I36" t="s">
        <v>1263</v>
      </c>
      <c r="J36" t="s">
        <v>1306</v>
      </c>
      <c r="K36" t="s">
        <v>573</v>
      </c>
      <c r="L36" t="s">
        <v>398</v>
      </c>
      <c r="M36" t="s">
        <v>611</v>
      </c>
      <c r="N36" t="s">
        <v>230</v>
      </c>
      <c r="O36" s="4">
        <f>AVERAGE(ParseTime(RunTime1!F36),ParseTime(RunTime2!F36),ParseTime(RunTime3!F36),ParseTime(RunTime4!F36))
/
AVERAGE(ParseTime(RunTime1!J36),ParseTime(RunTime2!J36),ParseTime(RunTime3!J36),ParseTime(RunTime4!J36))</f>
        <v>1.6385116279069769</v>
      </c>
      <c r="P36" s="4">
        <f>AVERAGE(ParseTime(RunTime1!F36),ParseTime(RunTime2!F36),ParseTime(RunTime3!F36),ParseTime(RunTime4!F36))
/
AVERAGE(ParseTime(RunTime1!I36),ParseTime(RunTime2!I36),ParseTime(RunTime3!I36),ParseTime(RunTime4!I36))</f>
        <v>1.8712418995006905</v>
      </c>
      <c r="Q36" s="4">
        <f>AVERAGE(ParseTime(RunTime1!H36),ParseTime(RunTime2!H36),ParseTime(RunTime3!H36),ParseTime(RunTime4!H36))
/
AVERAGE(ParseTime(RunTime1!J36),ParseTime(RunTime2!J36),ParseTime(RunTime3!J36),ParseTime(RunTime4!J36))</f>
        <v>0.50427906976744186</v>
      </c>
      <c r="R36" s="4">
        <f>AVERAGE(ParseTime(RunTime1!G36),ParseTime(RunTime2!G36),ParseTime(RunTime3!G36),ParseTime(RunTime4!G36))
/
AVERAGE(ParseTime(RunTime1!I36),ParseTime(RunTime2!I36),ParseTime(RunTime3!I36),ParseTime(RunTime4!I36))</f>
        <v>0.86529268033570583</v>
      </c>
      <c r="S36" s="4">
        <f>AVERAGE(ParseTime(RunTime1!H36),ParseTime(RunTime2!H36),ParseTime(RunTime3!H36),ParseTime(RunTime4!H36))
/
AVERAGE(ParseTime(RunTime1!I36),ParseTime(RunTime2!I36),ParseTime(RunTime3!I36),ParseTime(RunTime4!I36))</f>
        <v>0.5759056623818124</v>
      </c>
      <c r="T36" s="4">
        <f>AVERAGE(ParseTime(RunTime1!G36),ParseTime(RunTime2!G36),ParseTime(RunTime3!G36),ParseTime(RunTime4!G36))
/
AVERAGE(ParseTime(RunTime1!J36),ParseTime(RunTime2!J36),ParseTime(RunTime3!J36),ParseTime(RunTime4!J36))</f>
        <v>0.75767441860465112</v>
      </c>
      <c r="U36" t="s">
        <v>18</v>
      </c>
    </row>
    <row r="37" spans="1:21" x14ac:dyDescent="0.25">
      <c r="A37" t="s">
        <v>294</v>
      </c>
      <c r="B37" t="s">
        <v>226</v>
      </c>
      <c r="C37" t="s">
        <v>19</v>
      </c>
      <c r="D37" s="1">
        <v>121425</v>
      </c>
      <c r="E37">
        <v>2</v>
      </c>
      <c r="F37" t="s">
        <v>915</v>
      </c>
      <c r="G37" t="s">
        <v>916</v>
      </c>
      <c r="H37" t="s">
        <v>917</v>
      </c>
      <c r="I37" t="s">
        <v>1264</v>
      </c>
      <c r="J37" t="s">
        <v>1307</v>
      </c>
      <c r="K37" t="s">
        <v>627</v>
      </c>
      <c r="L37" t="s">
        <v>906</v>
      </c>
      <c r="M37" t="s">
        <v>709</v>
      </c>
      <c r="N37" t="s">
        <v>347</v>
      </c>
      <c r="O37" s="4">
        <f>AVERAGE(ParseTime(RunTime1!F37),ParseTime(RunTime2!F37),ParseTime(RunTime3!F37),ParseTime(RunTime4!F37))
/
AVERAGE(ParseTime(RunTime1!J37),ParseTime(RunTime2!J37),ParseTime(RunTime3!J37),ParseTime(RunTime4!J37))</f>
        <v>1.6762295081967213</v>
      </c>
      <c r="P37" s="4">
        <f>AVERAGE(ParseTime(RunTime1!F37),ParseTime(RunTime2!F37),ParseTime(RunTime3!F37),ParseTime(RunTime4!F37))
/
AVERAGE(ParseTime(RunTime1!I37),ParseTime(RunTime2!I37),ParseTime(RunTime3!I37),ParseTime(RunTime4!I37))</f>
        <v>1.5912848944655187</v>
      </c>
      <c r="Q37" s="4">
        <f>AVERAGE(ParseTime(RunTime1!H37),ParseTime(RunTime2!H37),ParseTime(RunTime3!H37),ParseTime(RunTime4!H37))
/
AVERAGE(ParseTime(RunTime1!J37),ParseTime(RunTime2!J37),ParseTime(RunTime3!J37),ParseTime(RunTime4!J37))</f>
        <v>0.54682377049180331</v>
      </c>
      <c r="R37" s="4">
        <f>AVERAGE(ParseTime(RunTime1!G37),ParseTime(RunTime2!G37),ParseTime(RunTime3!G37),ParseTime(RunTime4!G37))
/
AVERAGE(ParseTime(RunTime1!I37),ParseTime(RunTime2!I37),ParseTime(RunTime3!I37),ParseTime(RunTime4!I37))</f>
        <v>0.51629218947573186</v>
      </c>
      <c r="S37" s="4">
        <f>AVERAGE(ParseTime(RunTime1!H37),ParseTime(RunTime2!H37),ParseTime(RunTime3!H37),ParseTime(RunTime4!H37))
/
AVERAGE(ParseTime(RunTime1!I37),ParseTime(RunTime2!I37),ParseTime(RunTime3!I37),ParseTime(RunTime4!I37))</f>
        <v>0.5191129267580975</v>
      </c>
      <c r="T37" s="4">
        <f>AVERAGE(ParseTime(RunTime1!G37),ParseTime(RunTime2!G37),ParseTime(RunTime3!G37),ParseTime(RunTime4!G37))
/
AVERAGE(ParseTime(RunTime1!J37),ParseTime(RunTime2!J37),ParseTime(RunTime3!J37),ParseTime(RunTime4!J37))</f>
        <v>0.54385245901639345</v>
      </c>
      <c r="U37" t="s">
        <v>18</v>
      </c>
    </row>
    <row r="38" spans="1:21" x14ac:dyDescent="0.25">
      <c r="A38" t="s">
        <v>294</v>
      </c>
      <c r="B38" t="s">
        <v>236</v>
      </c>
      <c r="C38" t="s">
        <v>11</v>
      </c>
      <c r="D38" s="1">
        <v>90920</v>
      </c>
      <c r="E38">
        <v>2</v>
      </c>
      <c r="F38" t="s">
        <v>918</v>
      </c>
      <c r="G38" t="s">
        <v>919</v>
      </c>
      <c r="H38" t="s">
        <v>920</v>
      </c>
      <c r="I38" t="s">
        <v>1265</v>
      </c>
      <c r="J38" t="s">
        <v>1211</v>
      </c>
      <c r="K38" t="s">
        <v>628</v>
      </c>
      <c r="L38" t="s">
        <v>254</v>
      </c>
      <c r="M38" t="s">
        <v>921</v>
      </c>
      <c r="N38" t="s">
        <v>537</v>
      </c>
      <c r="O38" s="4">
        <f>AVERAGE(ParseTime(RunTime1!F38),ParseTime(RunTime2!F38),ParseTime(RunTime3!F38),ParseTime(RunTime4!F38))
/
AVERAGE(ParseTime(RunTime1!J38),ParseTime(RunTime2!J38),ParseTime(RunTime3!J38),ParseTime(RunTime4!J38))</f>
        <v>3.4453968253968252</v>
      </c>
      <c r="P38" s="4">
        <f>AVERAGE(ParseTime(RunTime1!F38),ParseTime(RunTime2!F38),ParseTime(RunTime3!F38),ParseTime(RunTime4!F38))
/
AVERAGE(ParseTime(RunTime1!I38),ParseTime(RunTime2!I38),ParseTime(RunTime3!I38),ParseTime(RunTime4!I38))</f>
        <v>3.5846086094902563</v>
      </c>
      <c r="Q38" s="4">
        <f>AVERAGE(ParseTime(RunTime1!H38),ParseTime(RunTime2!H38),ParseTime(RunTime3!H38),ParseTime(RunTime4!H38))
/
AVERAGE(ParseTime(RunTime1!J38),ParseTime(RunTime2!J38),ParseTime(RunTime3!J38),ParseTime(RunTime4!J38))</f>
        <v>0.42603174603174604</v>
      </c>
      <c r="R38" s="4">
        <f>AVERAGE(ParseTime(RunTime1!G38),ParseTime(RunTime2!G38),ParseTime(RunTime3!G38),ParseTime(RunTime4!G38))
/
AVERAGE(ParseTime(RunTime1!I38),ParseTime(RunTime2!I38),ParseTime(RunTime3!I38),ParseTime(RunTime4!I38))</f>
        <v>0.6439502367059341</v>
      </c>
      <c r="S38" s="4">
        <f>AVERAGE(ParseTime(RunTime1!H38),ParseTime(RunTime2!H38),ParseTime(RunTime3!H38),ParseTime(RunTime4!H38))
/
AVERAGE(ParseTime(RunTime1!I38),ParseTime(RunTime2!I38),ParseTime(RunTime3!I38),ParseTime(RunTime4!I38))</f>
        <v>0.44324562369261256</v>
      </c>
      <c r="T38" s="4">
        <f>AVERAGE(ParseTime(RunTime1!G38),ParseTime(RunTime2!G38),ParseTime(RunTime3!G38),ParseTime(RunTime4!G38))
/
AVERAGE(ParseTime(RunTime1!J38),ParseTime(RunTime2!J38),ParseTime(RunTime3!J38),ParseTime(RunTime4!J38))</f>
        <v>0.6189417989417989</v>
      </c>
      <c r="U38" t="s">
        <v>18</v>
      </c>
    </row>
    <row r="39" spans="1:21" x14ac:dyDescent="0.25">
      <c r="A39" t="s">
        <v>294</v>
      </c>
      <c r="B39" t="s">
        <v>236</v>
      </c>
      <c r="C39" t="s">
        <v>19</v>
      </c>
      <c r="D39" s="1">
        <v>93414</v>
      </c>
      <c r="E39">
        <v>2</v>
      </c>
      <c r="F39" t="s">
        <v>922</v>
      </c>
      <c r="G39" t="s">
        <v>923</v>
      </c>
      <c r="H39" t="s">
        <v>924</v>
      </c>
      <c r="I39" t="s">
        <v>1266</v>
      </c>
      <c r="J39" t="s">
        <v>170</v>
      </c>
      <c r="K39" t="s">
        <v>627</v>
      </c>
      <c r="L39" t="s">
        <v>925</v>
      </c>
      <c r="M39" t="s">
        <v>926</v>
      </c>
      <c r="N39" t="s">
        <v>223</v>
      </c>
      <c r="O39" s="4">
        <f>AVERAGE(ParseTime(RunTime1!F39),ParseTime(RunTime2!F39),ParseTime(RunTime3!F39),ParseTime(RunTime4!F39))
/
AVERAGE(ParseTime(RunTime1!J39),ParseTime(RunTime2!J39),ParseTime(RunTime3!J39),ParseTime(RunTime4!J39))</f>
        <v>4.7060074428495486</v>
      </c>
      <c r="P39" s="4">
        <f>AVERAGE(ParseTime(RunTime1!F39),ParseTime(RunTime2!F39),ParseTime(RunTime3!F39),ParseTime(RunTime4!F39))
/
AVERAGE(ParseTime(RunTime1!I39),ParseTime(RunTime2!I39),ParseTime(RunTime3!I39),ParseTime(RunTime4!I39))</f>
        <v>4.5429817808570698</v>
      </c>
      <c r="Q39" s="4">
        <f>AVERAGE(ParseTime(RunTime1!H39),ParseTime(RunTime2!H39),ParseTime(RunTime3!H39),ParseTime(RunTime4!H39))
/
AVERAGE(ParseTime(RunTime1!J39),ParseTime(RunTime2!J39),ParseTime(RunTime3!J39),ParseTime(RunTime4!J39))</f>
        <v>0.68806485911749071</v>
      </c>
      <c r="R39" s="4">
        <f>AVERAGE(ParseTime(RunTime1!G39),ParseTime(RunTime2!G39),ParseTime(RunTime3!G39),ParseTime(RunTime4!G39))
/
AVERAGE(ParseTime(RunTime1!I39),ParseTime(RunTime2!I39),ParseTime(RunTime3!I39),ParseTime(RunTime4!I39))</f>
        <v>0.61534513728509099</v>
      </c>
      <c r="S39" s="4">
        <f>AVERAGE(ParseTime(RunTime1!H39),ParseTime(RunTime2!H39),ParseTime(RunTime3!H39),ParseTime(RunTime4!H39))
/
AVERAGE(ParseTime(RunTime1!I39),ParseTime(RunTime2!I39),ParseTime(RunTime3!I39),ParseTime(RunTime4!I39))</f>
        <v>0.66422889402104168</v>
      </c>
      <c r="T39" s="4">
        <f>AVERAGE(ParseTime(RunTime1!G39),ParseTime(RunTime2!G39),ParseTime(RunTime3!G39),ParseTime(RunTime4!G39))
/
AVERAGE(ParseTime(RunTime1!J39),ParseTime(RunTime2!J39),ParseTime(RunTime3!J39),ParseTime(RunTime4!J39))</f>
        <v>0.63742690058479534</v>
      </c>
      <c r="U39" t="s">
        <v>18</v>
      </c>
    </row>
    <row r="40" spans="1:21" x14ac:dyDescent="0.25">
      <c r="A40" t="s">
        <v>294</v>
      </c>
      <c r="B40" t="s">
        <v>248</v>
      </c>
      <c r="C40" t="s">
        <v>11</v>
      </c>
      <c r="D40" s="1">
        <v>88866</v>
      </c>
      <c r="E40">
        <v>2</v>
      </c>
      <c r="F40" t="s">
        <v>927</v>
      </c>
      <c r="G40" t="s">
        <v>928</v>
      </c>
      <c r="H40" t="s">
        <v>929</v>
      </c>
      <c r="I40" t="s">
        <v>1267</v>
      </c>
      <c r="J40" t="s">
        <v>1308</v>
      </c>
      <c r="K40" t="s">
        <v>498</v>
      </c>
      <c r="L40" t="s">
        <v>930</v>
      </c>
      <c r="M40" t="s">
        <v>48</v>
      </c>
      <c r="N40" t="s">
        <v>210</v>
      </c>
      <c r="O40" s="4">
        <f>AVERAGE(ParseTime(RunTime1!F40),ParseTime(RunTime2!F40),ParseTime(RunTime3!F40),ParseTime(RunTime4!F40))
/
AVERAGE(ParseTime(RunTime1!J40),ParseTime(RunTime2!J40),ParseTime(RunTime3!J40),ParseTime(RunTime4!J40))</f>
        <v>1.4220714428257835</v>
      </c>
      <c r="P40" s="4">
        <f>AVERAGE(ParseTime(RunTime1!F40),ParseTime(RunTime2!F40),ParseTime(RunTime3!F40),ParseTime(RunTime4!F40))
/
AVERAGE(ParseTime(RunTime1!I40),ParseTime(RunTime2!I40),ParseTime(RunTime3!I40),ParseTime(RunTime4!I40))</f>
        <v>1.6064021641118127</v>
      </c>
      <c r="Q40" s="4">
        <f>AVERAGE(ParseTime(RunTime1!H40),ParseTime(RunTime2!H40),ParseTime(RunTime3!H40),ParseTime(RunTime4!H40))
/
AVERAGE(ParseTime(RunTime1!J40),ParseTime(RunTime2!J40),ParseTime(RunTime3!J40),ParseTime(RunTime4!J40))</f>
        <v>0.42107363799640785</v>
      </c>
      <c r="R40" s="4">
        <f>AVERAGE(ParseTime(RunTime1!G40),ParseTime(RunTime2!G40),ParseTime(RunTime3!G40),ParseTime(RunTime4!G40))
/
AVERAGE(ParseTime(RunTime1!I40),ParseTime(RunTime2!I40),ParseTime(RunTime3!I40),ParseTime(RunTime4!I40))</f>
        <v>0.72880973850315589</v>
      </c>
      <c r="S40" s="4">
        <f>AVERAGE(ParseTime(RunTime1!H40),ParseTime(RunTime2!H40),ParseTime(RunTime3!H40),ParseTime(RunTime4!H40))
/
AVERAGE(ParseTime(RunTime1!I40),ParseTime(RunTime2!I40),ParseTime(RunTime3!I40),ParseTime(RunTime4!I40))</f>
        <v>0.47565374211000899</v>
      </c>
      <c r="T40" s="4">
        <f>AVERAGE(ParseTime(RunTime1!G40),ParseTime(RunTime2!G40),ParseTime(RunTime3!G40),ParseTime(RunTime4!G40))
/
AVERAGE(ParseTime(RunTime1!J40),ParseTime(RunTime2!J40),ParseTime(RunTime3!J40),ParseTime(RunTime4!J40))</f>
        <v>0.64518060267411681</v>
      </c>
      <c r="U40" t="s">
        <v>18</v>
      </c>
    </row>
    <row r="41" spans="1:21" x14ac:dyDescent="0.25">
      <c r="A41" t="s">
        <v>294</v>
      </c>
      <c r="B41" t="s">
        <v>248</v>
      </c>
      <c r="C41" t="s">
        <v>19</v>
      </c>
      <c r="D41" s="1">
        <v>89795</v>
      </c>
      <c r="E41">
        <v>2</v>
      </c>
      <c r="F41" t="s">
        <v>931</v>
      </c>
      <c r="G41" t="s">
        <v>932</v>
      </c>
      <c r="H41" t="s">
        <v>933</v>
      </c>
      <c r="I41" t="s">
        <v>1268</v>
      </c>
      <c r="J41" t="s">
        <v>1309</v>
      </c>
      <c r="K41" t="s">
        <v>73</v>
      </c>
      <c r="L41" t="s">
        <v>381</v>
      </c>
      <c r="M41" t="s">
        <v>934</v>
      </c>
      <c r="N41" t="s">
        <v>465</v>
      </c>
      <c r="O41" s="4">
        <f>AVERAGE(ParseTime(RunTime1!F41),ParseTime(RunTime2!F41),ParseTime(RunTime3!F41),ParseTime(RunTime4!F41))
/
AVERAGE(ParseTime(RunTime1!J41),ParseTime(RunTime2!J41),ParseTime(RunTime3!J41),ParseTime(RunTime4!J41))</f>
        <v>1.5282239017477561</v>
      </c>
      <c r="P41" s="4">
        <f>AVERAGE(ParseTime(RunTime1!F41),ParseTime(RunTime2!F41),ParseTime(RunTime3!F41),ParseTime(RunTime4!F41))
/
AVERAGE(ParseTime(RunTime1!I41),ParseTime(RunTime2!I41),ParseTime(RunTime3!I41),ParseTime(RunTime4!I41))</f>
        <v>1.5802906337770177</v>
      </c>
      <c r="Q41" s="4">
        <f>AVERAGE(ParseTime(RunTime1!H41),ParseTime(RunTime2!H41),ParseTime(RunTime3!H41),ParseTime(RunTime4!H41))
/
AVERAGE(ParseTime(RunTime1!J41),ParseTime(RunTime2!J41),ParseTime(RunTime3!J41),ParseTime(RunTime4!J41))</f>
        <v>0.63793103448275867</v>
      </c>
      <c r="R41" s="4">
        <f>AVERAGE(ParseTime(RunTime1!G41),ParseTime(RunTime2!G41),ParseTime(RunTime3!G41),ParseTime(RunTime4!G41))
/
AVERAGE(ParseTime(RunTime1!I41),ParseTime(RunTime2!I41),ParseTime(RunTime3!I41),ParseTime(RunTime4!I41))</f>
        <v>0.64586640615459767</v>
      </c>
      <c r="S41" s="4">
        <f>AVERAGE(ParseTime(RunTime1!H41),ParseTime(RunTime2!H41),ParseTime(RunTime3!H41),ParseTime(RunTime4!H41))
/
AVERAGE(ParseTime(RunTime1!I41),ParseTime(RunTime2!I41),ParseTime(RunTime3!I41),ParseTime(RunTime4!I41))</f>
        <v>0.65966540481133229</v>
      </c>
      <c r="T41" s="4">
        <f>AVERAGE(ParseTime(RunTime1!G41),ParseTime(RunTime2!G41),ParseTime(RunTime3!G41),ParseTime(RunTime4!G41))
/
AVERAGE(ParseTime(RunTime1!J41),ParseTime(RunTime2!J41),ParseTime(RunTime3!J41),ParseTime(RunTime4!J41))</f>
        <v>0.62458667926310829</v>
      </c>
      <c r="U41" t="s">
        <v>18</v>
      </c>
    </row>
    <row r="42" spans="1:21" x14ac:dyDescent="0.25">
      <c r="A42" t="s">
        <v>294</v>
      </c>
      <c r="B42" t="s">
        <v>259</v>
      </c>
      <c r="C42" t="s">
        <v>11</v>
      </c>
      <c r="D42" s="1">
        <v>57485</v>
      </c>
      <c r="E42">
        <v>2</v>
      </c>
      <c r="F42" t="s">
        <v>935</v>
      </c>
      <c r="G42" t="s">
        <v>936</v>
      </c>
      <c r="H42" t="s">
        <v>262</v>
      </c>
      <c r="I42" t="s">
        <v>1269</v>
      </c>
      <c r="J42" t="s">
        <v>1098</v>
      </c>
      <c r="K42" t="s">
        <v>106</v>
      </c>
      <c r="L42" t="s">
        <v>937</v>
      </c>
      <c r="M42" t="s">
        <v>938</v>
      </c>
      <c r="N42" t="s">
        <v>805</v>
      </c>
      <c r="O42" s="4">
        <f>AVERAGE(ParseTime(RunTime1!F42),ParseTime(RunTime2!F42),ParseTime(RunTime3!F42),ParseTime(RunTime4!F42))
/
AVERAGE(ParseTime(RunTime1!J42),ParseTime(RunTime2!J42),ParseTime(RunTime3!J42),ParseTime(RunTime4!J42))</f>
        <v>18.190366415918465</v>
      </c>
      <c r="P42" s="4">
        <f>AVERAGE(ParseTime(RunTime1!F42),ParseTime(RunTime2!F42),ParseTime(RunTime3!F42),ParseTime(RunTime4!F42))
/
AVERAGE(ParseTime(RunTime1!I42),ParseTime(RunTime2!I42),ParseTime(RunTime3!I42),ParseTime(RunTime4!I42))</f>
        <v>19.480899168399169</v>
      </c>
      <c r="Q42" s="4">
        <f>AVERAGE(ParseTime(RunTime1!H42),ParseTime(RunTime2!H42),ParseTime(RunTime3!H42),ParseTime(RunTime4!H42))
/
AVERAGE(ParseTime(RunTime1!J42),ParseTime(RunTime2!J42),ParseTime(RunTime3!J42),ParseTime(RunTime4!J42))</f>
        <v>0.33195826255763156</v>
      </c>
      <c r="R42" s="4">
        <f>AVERAGE(ParseTime(RunTime1!G42),ParseTime(RunTime2!G42),ParseTime(RunTime3!G42),ParseTime(RunTime4!G42))
/
AVERAGE(ParseTime(RunTime1!I42),ParseTime(RunTime2!I42),ParseTime(RunTime3!I42),ParseTime(RunTime4!I42))</f>
        <v>0.45854989604989604</v>
      </c>
      <c r="S42" s="4">
        <f>AVERAGE(ParseTime(RunTime1!H42),ParseTime(RunTime2!H42),ParseTime(RunTime3!H42),ParseTime(RunTime4!H42))
/
AVERAGE(ParseTime(RunTime1!I42),ParseTime(RunTime2!I42),ParseTime(RunTime3!I42),ParseTime(RunTime4!I42))</f>
        <v>0.35550935550935547</v>
      </c>
      <c r="T42" s="4">
        <f>AVERAGE(ParseTime(RunTime1!G42),ParseTime(RunTime2!G42),ParseTime(RunTime3!G42),ParseTime(RunTime4!G42))
/
AVERAGE(ParseTime(RunTime1!J42),ParseTime(RunTime2!J42),ParseTime(RunTime3!J42),ParseTime(RunTime4!J42))</f>
        <v>0.42817277359864103</v>
      </c>
      <c r="U42" t="s">
        <v>18</v>
      </c>
    </row>
    <row r="43" spans="1:21" x14ac:dyDescent="0.25">
      <c r="A43" t="s">
        <v>294</v>
      </c>
      <c r="B43" t="s">
        <v>259</v>
      </c>
      <c r="C43" t="s">
        <v>19</v>
      </c>
      <c r="D43" s="1">
        <v>58447</v>
      </c>
      <c r="E43">
        <v>2</v>
      </c>
      <c r="F43" t="s">
        <v>939</v>
      </c>
      <c r="G43" t="s">
        <v>940</v>
      </c>
      <c r="H43" t="s">
        <v>941</v>
      </c>
      <c r="I43" t="s">
        <v>1270</v>
      </c>
      <c r="J43" t="s">
        <v>1310</v>
      </c>
      <c r="K43" t="s">
        <v>789</v>
      </c>
      <c r="L43" t="s">
        <v>942</v>
      </c>
      <c r="M43" t="s">
        <v>943</v>
      </c>
      <c r="N43" t="s">
        <v>148</v>
      </c>
      <c r="O43" s="4">
        <f>AVERAGE(ParseTime(RunTime1!F43),ParseTime(RunTime2!F43),ParseTime(RunTime3!F43),ParseTime(RunTime4!F43))
/
AVERAGE(ParseTime(RunTime1!J43),ParseTime(RunTime2!J43),ParseTime(RunTime3!J43),ParseTime(RunTime4!J43))</f>
        <v>22.415350223546941</v>
      </c>
      <c r="P43" s="4">
        <f>AVERAGE(ParseTime(RunTime1!F43),ParseTime(RunTime2!F43),ParseTime(RunTime3!F43),ParseTime(RunTime4!F43))
/
AVERAGE(ParseTime(RunTime1!I43),ParseTime(RunTime2!I43),ParseTime(RunTime3!I43),ParseTime(RunTime4!I43))</f>
        <v>20.281418554476804</v>
      </c>
      <c r="Q43" s="4">
        <f>AVERAGE(ParseTime(RunTime1!H43),ParseTime(RunTime2!H43),ParseTime(RunTime3!H43),ParseTime(RunTime4!H43))
/
AVERAGE(ParseTime(RunTime1!J43),ParseTime(RunTime2!J43),ParseTime(RunTime3!J43),ParseTime(RunTime4!J43))</f>
        <v>0.48420268256333837</v>
      </c>
      <c r="R43" s="4">
        <f>AVERAGE(ParseTime(RunTime1!G43),ParseTime(RunTime2!G43),ParseTime(RunTime3!G43),ParseTime(RunTime4!G43))
/
AVERAGE(ParseTime(RunTime1!I43),ParseTime(RunTime2!I43),ParseTime(RunTime3!I43),ParseTime(RunTime4!I43))</f>
        <v>0.4924487594390507</v>
      </c>
      <c r="S43" s="4">
        <f>AVERAGE(ParseTime(RunTime1!H43),ParseTime(RunTime2!H43),ParseTime(RunTime3!H43),ParseTime(RunTime4!H43))
/
AVERAGE(ParseTime(RunTime1!I43),ParseTime(RunTime2!I43),ParseTime(RunTime3!I43),ParseTime(RunTime4!I43))</f>
        <v>0.43810679611650488</v>
      </c>
      <c r="T43" s="4">
        <f>AVERAGE(ParseTime(RunTime1!G43),ParseTime(RunTime2!G43),ParseTime(RunTime3!G43),ParseTime(RunTime4!G43))
/
AVERAGE(ParseTime(RunTime1!J43),ParseTime(RunTime2!J43),ParseTime(RunTime3!J43),ParseTime(RunTime4!J43))</f>
        <v>0.54426229508196722</v>
      </c>
      <c r="U43" t="s">
        <v>18</v>
      </c>
    </row>
    <row r="44" spans="1:21" x14ac:dyDescent="0.25">
      <c r="A44" t="s">
        <v>294</v>
      </c>
      <c r="B44" t="s">
        <v>271</v>
      </c>
      <c r="C44" t="s">
        <v>11</v>
      </c>
      <c r="D44" s="1">
        <v>55326</v>
      </c>
      <c r="E44">
        <v>2</v>
      </c>
      <c r="F44" t="s">
        <v>944</v>
      </c>
      <c r="G44" t="s">
        <v>945</v>
      </c>
      <c r="H44" t="s">
        <v>946</v>
      </c>
      <c r="I44" t="s">
        <v>1271</v>
      </c>
      <c r="J44" t="s">
        <v>1311</v>
      </c>
      <c r="K44" t="s">
        <v>627</v>
      </c>
      <c r="L44" t="s">
        <v>947</v>
      </c>
      <c r="M44" t="s">
        <v>948</v>
      </c>
      <c r="N44" t="s">
        <v>465</v>
      </c>
      <c r="O44" s="4">
        <f>AVERAGE(ParseTime(RunTime1!F44),ParseTime(RunTime2!F44),ParseTime(RunTime3!F44),ParseTime(RunTime4!F44))
/
AVERAGE(ParseTime(RunTime1!J44),ParseTime(RunTime2!J44),ParseTime(RunTime3!J44),ParseTime(RunTime4!J44))</f>
        <v>121.18074628936053</v>
      </c>
      <c r="P44" s="4">
        <f>AVERAGE(ParseTime(RunTime1!F44),ParseTime(RunTime2!F44),ParseTime(RunTime3!F44),ParseTime(RunTime4!F44))
/
AVERAGE(ParseTime(RunTime1!I44),ParseTime(RunTime2!I44),ParseTime(RunTime3!I44),ParseTime(RunTime4!I44))</f>
        <v>119.3105708822726</v>
      </c>
      <c r="Q44" s="4">
        <f>AVERAGE(ParseTime(RunTime1!H44),ParseTime(RunTime2!H44),ParseTime(RunTime3!H44),ParseTime(RunTime4!H44))
/
AVERAGE(ParseTime(RunTime1!J44),ParseTime(RunTime2!J44),ParseTime(RunTime3!J44),ParseTime(RunTime4!J44))</f>
        <v>0.53530309335552784</v>
      </c>
      <c r="R44" s="4">
        <f>AVERAGE(ParseTime(RunTime1!G44),ParseTime(RunTime2!G44),ParseTime(RunTime3!G44),ParseTime(RunTime4!G44))
/
AVERAGE(ParseTime(RunTime1!I44),ParseTime(RunTime2!I44),ParseTime(RunTime3!I44),ParseTime(RunTime4!I44))</f>
        <v>0.55217153783119366</v>
      </c>
      <c r="S44" s="4">
        <f>AVERAGE(ParseTime(RunTime1!H44),ParseTime(RunTime2!H44),ParseTime(RunTime3!H44),ParseTime(RunTime4!H44))
/
AVERAGE(ParseTime(RunTime1!I44),ParseTime(RunTime2!I44),ParseTime(RunTime3!I44),ParseTime(RunTime4!I44))</f>
        <v>0.52704179186014755</v>
      </c>
      <c r="T44" s="4">
        <f>AVERAGE(ParseTime(RunTime1!G44),ParseTime(RunTime2!G44),ParseTime(RunTime3!G44),ParseTime(RunTime4!G44))
/
AVERAGE(ParseTime(RunTime1!J44),ParseTime(RunTime2!J44),ParseTime(RunTime3!J44),ParseTime(RunTime4!J44))</f>
        <v>0.5608267443473437</v>
      </c>
      <c r="U44" t="s">
        <v>18</v>
      </c>
    </row>
    <row r="45" spans="1:21" x14ac:dyDescent="0.25">
      <c r="A45" t="s">
        <v>294</v>
      </c>
      <c r="B45" t="s">
        <v>271</v>
      </c>
      <c r="C45" t="s">
        <v>19</v>
      </c>
      <c r="D45" s="1">
        <v>55000</v>
      </c>
      <c r="E45">
        <v>2</v>
      </c>
      <c r="F45" t="s">
        <v>949</v>
      </c>
      <c r="G45" t="s">
        <v>950</v>
      </c>
      <c r="H45" t="s">
        <v>951</v>
      </c>
      <c r="I45" t="s">
        <v>1272</v>
      </c>
      <c r="J45" t="s">
        <v>1227</v>
      </c>
      <c r="K45" t="s">
        <v>268</v>
      </c>
      <c r="L45" t="s">
        <v>952</v>
      </c>
      <c r="M45" t="s">
        <v>953</v>
      </c>
      <c r="N45" t="s">
        <v>355</v>
      </c>
      <c r="O45" s="4">
        <f>AVERAGE(ParseTime(RunTime1!F45),ParseTime(RunTime2!F45),ParseTime(RunTime3!F45),ParseTime(RunTime4!F45))
/
AVERAGE(ParseTime(RunTime1!J45),ParseTime(RunTime2!J45),ParseTime(RunTime3!J45),ParseTime(RunTime4!J45))</f>
        <v>109.2887098836466</v>
      </c>
      <c r="P45" s="4">
        <f>AVERAGE(ParseTime(RunTime1!F45),ParseTime(RunTime2!F45),ParseTime(RunTime3!F45),ParseTime(RunTime4!F45))
/
AVERAGE(ParseTime(RunTime1!I45),ParseTime(RunTime2!I45),ParseTime(RunTime3!I45),ParseTime(RunTime4!I45))</f>
        <v>97.440378476972185</v>
      </c>
      <c r="Q45" s="4">
        <f>AVERAGE(ParseTime(RunTime1!H45),ParseTime(RunTime2!H45),ParseTime(RunTime3!H45),ParseTime(RunTime4!H45))
/
AVERAGE(ParseTime(RunTime1!J45),ParseTime(RunTime2!J45),ParseTime(RunTime3!J45),ParseTime(RunTime4!J45))</f>
        <v>0.4310190512722159</v>
      </c>
      <c r="R45" s="4">
        <f>AVERAGE(ParseTime(RunTime1!G45),ParseTime(RunTime2!G45),ParseTime(RunTime3!G45),ParseTime(RunTime4!G45))
/
AVERAGE(ParseTime(RunTime1!I45),ParseTime(RunTime2!I45),ParseTime(RunTime3!I45),ParseTime(RunTime4!I45))</f>
        <v>0.39215686274509803</v>
      </c>
      <c r="S45" s="4">
        <f>AVERAGE(ParseTime(RunTime1!H45),ParseTime(RunTime2!H45),ParseTime(RunTime3!H45),ParseTime(RunTime4!H45))
/
AVERAGE(ParseTime(RunTime1!I45),ParseTime(RunTime2!I45),ParseTime(RunTime3!I45),ParseTime(RunTime4!I45))</f>
        <v>0.38429092567259465</v>
      </c>
      <c r="T45" s="4">
        <f>AVERAGE(ParseTime(RunTime1!G45),ParseTime(RunTime2!G45),ParseTime(RunTime3!G45),ParseTime(RunTime4!G45))
/
AVERAGE(ParseTime(RunTime1!J45),ParseTime(RunTime2!J45),ParseTime(RunTime3!J45),ParseTime(RunTime4!J45))</f>
        <v>0.43984145249968037</v>
      </c>
      <c r="U45" t="s">
        <v>18</v>
      </c>
    </row>
    <row r="46" spans="1:21" x14ac:dyDescent="0.25">
      <c r="A46" t="s">
        <v>294</v>
      </c>
      <c r="B46" t="s">
        <v>283</v>
      </c>
      <c r="C46" t="s">
        <v>11</v>
      </c>
      <c r="D46" s="1">
        <v>90969</v>
      </c>
      <c r="E46">
        <v>1</v>
      </c>
      <c r="F46" t="s">
        <v>954</v>
      </c>
      <c r="G46" t="s">
        <v>955</v>
      </c>
      <c r="H46" t="s">
        <v>956</v>
      </c>
      <c r="I46" t="s">
        <v>335</v>
      </c>
      <c r="J46" t="s">
        <v>1312</v>
      </c>
      <c r="K46" t="s">
        <v>594</v>
      </c>
      <c r="L46" t="s">
        <v>957</v>
      </c>
      <c r="M46" t="s">
        <v>958</v>
      </c>
      <c r="N46" t="s">
        <v>1059</v>
      </c>
      <c r="O46" s="4">
        <f>AVERAGE(ParseTime(RunTime1!F46),ParseTime(RunTime2!F46),ParseTime(RunTime3!F46),ParseTime(RunTime4!F46))
/
AVERAGE(ParseTime(RunTime1!J46),ParseTime(RunTime2!J46),ParseTime(RunTime3!J46),ParseTime(RunTime4!J46))</f>
        <v>2.4405449237755432</v>
      </c>
      <c r="P46" s="4">
        <f>AVERAGE(ParseTime(RunTime1!F46),ParseTime(RunTime2!F46),ParseTime(RunTime3!F46),ParseTime(RunTime4!F46))
/
AVERAGE(ParseTime(RunTime1!I46),ParseTime(RunTime2!I46),ParseTime(RunTime3!I46),ParseTime(RunTime4!I46))</f>
        <v>2.9258827189298491</v>
      </c>
      <c r="Q46" s="4">
        <f>AVERAGE(ParseTime(RunTime1!H46),ParseTime(RunTime2!H46),ParseTime(RunTime3!H46),ParseTime(RunTime4!H46))
/
AVERAGE(ParseTime(RunTime1!J46),ParseTime(RunTime2!J46),ParseTime(RunTime3!J46),ParseTime(RunTime4!J46))</f>
        <v>0.67434317223483609</v>
      </c>
      <c r="R46" s="4">
        <f>AVERAGE(ParseTime(RunTime1!G46),ParseTime(RunTime2!G46),ParseTime(RunTime3!G46),ParseTime(RunTime4!G46))
/
AVERAGE(ParseTime(RunTime1!I46),ParseTime(RunTime2!I46),ParseTime(RunTime3!I46),ParseTime(RunTime4!I46))</f>
        <v>0.82827811479234714</v>
      </c>
      <c r="S46" s="4">
        <f>AVERAGE(ParseTime(RunTime1!H46),ParseTime(RunTime2!H46),ParseTime(RunTime3!H46),ParseTime(RunTime4!H46))
/
AVERAGE(ParseTime(RunTime1!I46),ParseTime(RunTime2!I46),ParseTime(RunTime3!I46),ParseTime(RunTime4!I46))</f>
        <v>0.80844610359309377</v>
      </c>
      <c r="T46" s="4">
        <f>AVERAGE(ParseTime(RunTime1!G46),ParseTime(RunTime2!G46),ParseTime(RunTime3!G46),ParseTime(RunTime4!G46))
/
AVERAGE(ParseTime(RunTime1!J46),ParseTime(RunTime2!J46),ParseTime(RunTime3!J46),ParseTime(RunTime4!J46))</f>
        <v>0.69088550113525782</v>
      </c>
      <c r="U46" t="s">
        <v>18</v>
      </c>
    </row>
    <row r="47" spans="1:21" x14ac:dyDescent="0.25">
      <c r="A47" t="s">
        <v>294</v>
      </c>
      <c r="B47" t="s">
        <v>283</v>
      </c>
      <c r="C47" t="s">
        <v>19</v>
      </c>
      <c r="D47" s="1">
        <v>127106</v>
      </c>
      <c r="E47">
        <v>2</v>
      </c>
      <c r="F47" t="s">
        <v>959</v>
      </c>
      <c r="G47" t="s">
        <v>960</v>
      </c>
      <c r="H47" t="s">
        <v>961</v>
      </c>
      <c r="I47" t="s">
        <v>703</v>
      </c>
      <c r="J47" t="s">
        <v>315</v>
      </c>
      <c r="K47" t="s">
        <v>584</v>
      </c>
      <c r="L47" t="s">
        <v>962</v>
      </c>
      <c r="M47" t="s">
        <v>963</v>
      </c>
      <c r="N47" t="s">
        <v>98</v>
      </c>
      <c r="O47" s="4">
        <f>AVERAGE(ParseTime(RunTime1!F47),ParseTime(RunTime2!F47),ParseTime(RunTime3!F47),ParseTime(RunTime4!F47))
/
AVERAGE(ParseTime(RunTime1!J47),ParseTime(RunTime2!J47),ParseTime(RunTime3!J47),ParseTime(RunTime4!J47))</f>
        <v>4.5500194881122527</v>
      </c>
      <c r="P47" s="4">
        <f>AVERAGE(ParseTime(RunTime1!F47),ParseTime(RunTime2!F47),ParseTime(RunTime3!F47),ParseTime(RunTime4!F47))
/
AVERAGE(ParseTime(RunTime1!I47),ParseTime(RunTime2!I47),ParseTime(RunTime3!I47),ParseTime(RunTime4!I47))</f>
        <v>4.2722171393717598</v>
      </c>
      <c r="Q47" s="4">
        <f>AVERAGE(ParseTime(RunTime1!H47),ParseTime(RunTime2!H47),ParseTime(RunTime3!H47),ParseTime(RunTime4!H47))
/
AVERAGE(ParseTime(RunTime1!J47),ParseTime(RunTime2!J47),ParseTime(RunTime3!J47),ParseTime(RunTime4!J47))</f>
        <v>1.2289203585812656</v>
      </c>
      <c r="R47" s="4">
        <f>AVERAGE(ParseTime(RunTime1!G47),ParseTime(RunTime2!G47),ParseTime(RunTime3!G47),ParseTime(RunTime4!G47))
/
AVERAGE(ParseTime(RunTime1!I47),ParseTime(RunTime2!I47),ParseTime(RunTime3!I47),ParseTime(RunTime4!I47))</f>
        <v>0.56078072583104599</v>
      </c>
      <c r="S47" s="4">
        <f>AVERAGE(ParseTime(RunTime1!H47),ParseTime(RunTime2!H47),ParseTime(RunTime3!H47),ParseTime(RunTime4!H47))
/
AVERAGE(ParseTime(RunTime1!I47),ParseTime(RunTime2!I47),ParseTime(RunTime3!I47),ParseTime(RunTime4!I47))</f>
        <v>1.1538883806038427</v>
      </c>
      <c r="T47" s="4">
        <f>AVERAGE(ParseTime(RunTime1!G47),ParseTime(RunTime2!G47),ParseTime(RunTime3!G47),ParseTime(RunTime4!G47))
/
AVERAGE(ParseTime(RunTime1!J47),ParseTime(RunTime2!J47),ParseTime(RunTime3!J47),ParseTime(RunTime4!J47))</f>
        <v>0.59724568013511758</v>
      </c>
      <c r="U47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31A7-7C38-43EB-8E30-8B1878090241}">
  <sheetPr codeName="Sheet5"/>
  <dimension ref="A1:U47"/>
  <sheetViews>
    <sheetView tabSelected="1" topLeftCell="J1" workbookViewId="0">
      <selection activeCell="L9" sqref="L9"/>
    </sheetView>
  </sheetViews>
  <sheetFormatPr defaultRowHeight="15" x14ac:dyDescent="0.25"/>
  <cols>
    <col min="6" max="6" width="32.140625" customWidth="1"/>
    <col min="7" max="7" width="24.42578125" customWidth="1"/>
    <col min="8" max="9" width="21" customWidth="1"/>
    <col min="10" max="10" width="29.140625" customWidth="1"/>
  </cols>
  <sheetData>
    <row r="1" spans="1:21" x14ac:dyDescent="0.25">
      <c r="A1" t="s">
        <v>293</v>
      </c>
      <c r="B1" t="s">
        <v>0</v>
      </c>
      <c r="C1" t="s">
        <v>1</v>
      </c>
      <c r="D1" t="s">
        <v>295</v>
      </c>
      <c r="E1" t="s">
        <v>2</v>
      </c>
      <c r="F1" t="s">
        <v>3</v>
      </c>
      <c r="G1" t="s">
        <v>4</v>
      </c>
      <c r="H1" t="s">
        <v>5</v>
      </c>
      <c r="I1" t="s">
        <v>964</v>
      </c>
      <c r="J1" t="s">
        <v>1009</v>
      </c>
      <c r="K1" t="s">
        <v>6</v>
      </c>
      <c r="L1" t="s">
        <v>7</v>
      </c>
      <c r="M1" t="s">
        <v>8</v>
      </c>
      <c r="N1" t="s">
        <v>1054</v>
      </c>
      <c r="O1" t="s">
        <v>1322</v>
      </c>
      <c r="P1" t="s">
        <v>1317</v>
      </c>
      <c r="Q1" t="s">
        <v>1318</v>
      </c>
      <c r="R1" t="s">
        <v>1320</v>
      </c>
      <c r="S1" t="s">
        <v>1319</v>
      </c>
      <c r="T1" t="s">
        <v>1321</v>
      </c>
      <c r="U1" t="s">
        <v>9</v>
      </c>
    </row>
    <row r="2" spans="1:21" x14ac:dyDescent="0.25">
      <c r="A2" t="s">
        <v>294</v>
      </c>
      <c r="B2" t="s">
        <v>10</v>
      </c>
      <c r="C2" t="s">
        <v>11</v>
      </c>
      <c r="D2" s="1">
        <v>319247</v>
      </c>
      <c r="E2">
        <v>2</v>
      </c>
      <c r="F2" t="str">
        <f>TEXT(AVERAGE(ParseTime(RunTime1!F2),ParseTime(RunTime2!F2),ParseTime(RunTime3!F2),ParseTime(RunTime4!F2))/86400,"mm""m ""ss.00""s""") &amp; " ± " &amp; TEXT(_xlfn.STDEV.S(ParseTime(RunTime1!F2),ParseTime(RunTime2!F2),ParseTime(RunTime3!F2),ParseTime(RunTime4!F2))/86400,"mm""m ""ss.00""s""")</f>
        <v>15m 35.55s ± 06m 21.97s</v>
      </c>
      <c r="G2" t="str">
        <f>TEXT(AVERAGE(ParseTime(RunTime1!G2),ParseTime(RunTime2!G2),ParseTime(RunTime3!G2),ParseTime(RunTime4!G2))/86400,"mm""m ""ss.00""s""") &amp; " ± " &amp; TEXT(_xlfn.STDEV.S(ParseTime(RunTime1!G2),ParseTime(RunTime2!G2),ParseTime(RunTime3!G2),ParseTime(RunTime4!G2))/86400,"mm""m ""ss.00""s""")</f>
        <v>00m 06.50s ± 00m 01.32s</v>
      </c>
      <c r="H2" t="str">
        <f>TEXT(AVERAGE(ParseTime(RunTime1!H2),ParseTime(RunTime2!H2),ParseTime(RunTime3!H2),ParseTime(RunTime4!H2))/86400,"mm""m ""ss.00""s""") &amp; " ± " &amp; TEXT(_xlfn.STDEV.S(ParseTime(RunTime1!H2),ParseTime(RunTime2!H2),ParseTime(RunTime3!H2),ParseTime(RunTime4!H2))/86400,"mm""m ""ss.00""s""")</f>
        <v>00m 06.90s ± 00m 01.42s</v>
      </c>
      <c r="I2" t="str">
        <f>TEXT(AVERAGE(ParseTime(RunTime1!I2),ParseTime(RunTime2!I2),ParseTime(RunTime3!I2),ParseTime(RunTime4!I2))/86400,"mm""m ""ss.00""s""") &amp; " ± " &amp; TEXT(_xlfn.STDEV.S(ParseTime(RunTime1!I2),ParseTime(RunTime2!I2),ParseTime(RunTime3!I2),ParseTime(RunTime4!I2))/86400,"mm""m ""ss.00""s""")</f>
        <v>00m 06.23s ± 00m 01.27s</v>
      </c>
      <c r="J2" t="str">
        <f>TEXT(AVERAGE(ParseTime(RunTime1!J2),ParseTime(RunTime2!J2),ParseTime(RunTime3!J2),ParseTime(RunTime4!J2))/86400,"mm""m ""ss.00""s""") &amp; " ± " &amp; TEXT(_xlfn.STDEV.S(ParseTime(RunTime1!J2),ParseTime(RunTime2!J2),ParseTime(RunTime3!J2),ParseTime(RunTime4!J2))/86400,"mm""m ""ss.00""s""")</f>
        <v>00m 06.64s ± 00m 00.86s</v>
      </c>
      <c r="K2" s="2">
        <f>AVERAGE(ParseTime(RunTime1!G2),ParseTime(RunTime2!G2),ParseTime(RunTime3!G2),ParseTime(RunTime4!G2))/AVERAGE(ParseTime(RunTime1!H2),ParseTime(RunTime2!H2),ParseTime(RunTime3!H2),ParseTime(RunTime4!H2))</f>
        <v>0.94132135612865853</v>
      </c>
      <c r="L2" s="2">
        <f>AVERAGE(ParseTime(RunTime1!F2),ParseTime(RunTime2!F2),ParseTime(RunTime3!F2),ParseTime(RunTime4!F2))/AVERAGE(ParseTime(RunTime1!G2),ParseTime(RunTime2!G2),ParseTime(RunTime3!G2),ParseTime(RunTime4!G2))</f>
        <v>143.99703709404338</v>
      </c>
      <c r="M2" s="2">
        <f>AVERAGE(ParseTime(RunTime1!F2),ParseTime(RunTime2!F2),ParseTime(RunTime3!F2),ParseTime(RunTime4!F2))
/
AVERAGE(ParseTime(RunTime1!H2),ParseTime(RunTime2!H2),ParseTime(RunTime3!H2),ParseTime(RunTime4!H2))</f>
        <v>135.54748623587366</v>
      </c>
      <c r="N2" s="2">
        <f>AVERAGE(ParseTime(RunTime1!I2),ParseTime(RunTime2!I2),ParseTime(RunTime3!I2),ParseTime(RunTime4!I2))/AVERAGE(ParseTime(RunTime1!J2),ParseTime(RunTime2!J2),ParseTime(RunTime3!J2),ParseTime(RunTime4!J2))</f>
        <v>0.93765520355180976</v>
      </c>
      <c r="O2" s="2">
        <f>AVERAGE(ParseTime(RunTime1!F2),ParseTime(RunTime2!F2),ParseTime(RunTime3!F2),ParseTime(RunTime4!F2))/AVERAGE(ParseTime(RunTime1!J2),ParseTime(RunTime2!J2),ParseTime(RunTime3!J2),ParseTime(RunTime4!J2))</f>
        <v>140.80047407630371</v>
      </c>
      <c r="P2" s="2">
        <f>AVERAGE(ParseTime(RunTime1!F2),ParseTime(RunTime2!F2),ParseTime(RunTime3!F2),ParseTime(RunTime4!F2))/AVERAGE(ParseTime(RunTime1!I2),ParseTime(RunTime2!I2),ParseTime(RunTime3!I2),ParseTime(RunTime4!I2))</f>
        <v>150.16231290879176</v>
      </c>
      <c r="Q2" s="2">
        <f>AVERAGE(ParseTime(RunTime1!H2),ParseTime(RunTime2!H2),ParseTime(RunTime3!H2),ParseTime(RunTime4!H2))/AVERAGE(ParseTime(RunTime1!J2),ParseTime(RunTime2!J2),ParseTime(RunTime3!J2),ParseTime(RunTime4!J2))</f>
        <v>1.0387538565731056</v>
      </c>
      <c r="R2" s="2">
        <f>AVERAGE(ParseTime(RunTime1!G2),ParseTime(RunTime2!G2),ParseTime(RunTime3!G2),ParseTime(RunTime4!G2))/AVERAGE(ParseTime(RunTime1!I2),ParseTime(RunTime2!I2),ParseTime(RunTime3!I2),ParseTime(RunTime4!I2))</f>
        <v>1.0428152963364232</v>
      </c>
      <c r="S2" s="2">
        <f>AVERAGE(ParseTime(RunTime1!H2),ParseTime(RunTime2!H2),ParseTime(RunTime3!H2),ParseTime(RunTime4!H2))/AVERAGE(ParseTime(RunTime1!I2),ParseTime(RunTime2!I2),ParseTime(RunTime3!I2),ParseTime(RunTime4!I2))</f>
        <v>1.1078207134545162</v>
      </c>
      <c r="T2" s="2">
        <f>AVERAGE(ParseTime(RunTime1!G2),ParseTime(RunTime2!G2),ParseTime(RunTime3!G2),ParseTime(RunTime4!G2))/AVERAGE(ParseTime(RunTime1!J2),ParseTime(RunTime2!J2),ParseTime(RunTime3!J2),ParseTime(RunTime4!J2))</f>
        <v>0.97780118895326973</v>
      </c>
      <c r="U2" t="s">
        <v>18</v>
      </c>
    </row>
    <row r="3" spans="1:21" x14ac:dyDescent="0.25">
      <c r="A3" t="s">
        <v>294</v>
      </c>
      <c r="B3" t="s">
        <v>10</v>
      </c>
      <c r="C3" t="s">
        <v>19</v>
      </c>
      <c r="D3" s="1">
        <v>316061</v>
      </c>
      <c r="E3">
        <v>2</v>
      </c>
      <c r="F3" t="str">
        <f>TEXT(AVERAGE(ParseTime(RunTime1!F3),ParseTime(RunTime2!F3),ParseTime(RunTime3!F3),ParseTime(RunTime4!F3))/86400,"mm""m ""ss.00""s""") &amp; " ± " &amp; TEXT(_xlfn.STDEV.S(ParseTime(RunTime1!F3),ParseTime(RunTime2!F3),ParseTime(RunTime3!F3),ParseTime(RunTime4!F3))/86400,"mm""m ""ss.00""s""")</f>
        <v>12m 57.76s ± 00m 37.82s</v>
      </c>
      <c r="G3" t="str">
        <f>TEXT(AVERAGE(ParseTime(RunTime1!G3),ParseTime(RunTime2!G3),ParseTime(RunTime3!G3),ParseTime(RunTime4!G3))/86400,"mm""m ""ss.00""s""") &amp; " ± " &amp; TEXT(_xlfn.STDEV.S(ParseTime(RunTime1!G3),ParseTime(RunTime2!G3),ParseTime(RunTime3!G3),ParseTime(RunTime4!G3))/86400,"mm""m ""ss.00""s""")</f>
        <v>00m 06.70s ± 00m 01.34s</v>
      </c>
      <c r="H3" t="str">
        <f>TEXT(AVERAGE(ParseTime(RunTime1!H3),ParseTime(RunTime2!H3),ParseTime(RunTime3!H3),ParseTime(RunTime4!H3))/86400,"mm""m ""ss.00""s""") &amp; " ± " &amp; TEXT(_xlfn.STDEV.S(ParseTime(RunTime1!H3),ParseTime(RunTime2!H3),ParseTime(RunTime3!H3),ParseTime(RunTime4!H3))/86400,"mm""m ""ss.00""s""")</f>
        <v>00m 06.06s ± 00m 01.30s</v>
      </c>
      <c r="I3" t="str">
        <f>TEXT(AVERAGE(ParseTime(RunTime1!I3),ParseTime(RunTime2!I3),ParseTime(RunTime3!I3),ParseTime(RunTime4!I3))/86400,"mm""m ""ss.00""s""") &amp; " ± " &amp; TEXT(_xlfn.STDEV.S(ParseTime(RunTime1!I3),ParseTime(RunTime2!I3),ParseTime(RunTime3!I3),ParseTime(RunTime4!I3))/86400,"mm""m ""ss.00""s""")</f>
        <v>00m 05.91s ± 00m 00.50s</v>
      </c>
      <c r="J3" t="str">
        <f>TEXT(AVERAGE(ParseTime(RunTime1!J3),ParseTime(RunTime2!J3),ParseTime(RunTime3!J3),ParseTime(RunTime4!J3))/86400,"mm""m ""ss.00""s""") &amp; " ± " &amp; TEXT(_xlfn.STDEV.S(ParseTime(RunTime1!J3),ParseTime(RunTime2!J3),ParseTime(RunTime3!J3),ParseTime(RunTime4!J3))/86400,"mm""m ""ss.00""s""")</f>
        <v>00m 06.39s ± 00m 00.65s</v>
      </c>
      <c r="K3" s="2">
        <f>AVERAGE(ParseTime(RunTime1!G3),ParseTime(RunTime2!G3),ParseTime(RunTime3!G3),ParseTime(RunTime4!G3))/AVERAGE(ParseTime(RunTime1!H3),ParseTime(RunTime2!H3),ParseTime(RunTime3!H3),ParseTime(RunTime4!H3))</f>
        <v>1.1057517742201683</v>
      </c>
      <c r="L3" s="2">
        <f>AVERAGE(ParseTime(RunTime1!F3),ParseTime(RunTime2!F3),ParseTime(RunTime3!F3),ParseTime(RunTime4!F3))
/
AVERAGE(ParseTime(RunTime1!G3),ParseTime(RunTime2!G3),ParseTime(RunTime3!G3),ParseTime(RunTime4!G3))</f>
        <v>116.08735400574646</v>
      </c>
      <c r="M3" s="2">
        <f>AVERAGE(ParseTime(RunTime1!F3),ParseTime(RunTime2!F3),ParseTime(RunTime3!F3),ParseTime(RunTime4!F3))
/
AVERAGE(ParseTime(RunTime1!H3),ParseTime(RunTime2!H3),ParseTime(RunTime3!H3),ParseTime(RunTime4!H3))</f>
        <v>128.36379765637892</v>
      </c>
      <c r="N3" s="2">
        <f>AVERAGE(ParseTime(RunTime1!I3),ParseTime(RunTime2!I3),ParseTime(RunTime3!I3),ParseTime(RunTime4!I3))/AVERAGE(ParseTime(RunTime1!J3),ParseTime(RunTime2!J3),ParseTime(RunTime3!J3),ParseTime(RunTime4!J3))</f>
        <v>0.92549403247896678</v>
      </c>
      <c r="O3" s="2">
        <f>AVERAGE(ParseTime(RunTime1!F3),ParseTime(RunTime2!F3),ParseTime(RunTime3!F3),ParseTime(RunTime4!F3))/AVERAGE(ParseTime(RunTime1!J3),ParseTime(RunTime2!J3),ParseTime(RunTime3!J3),ParseTime(RunTime4!J3))</f>
        <v>121.73840735668163</v>
      </c>
      <c r="P3" s="2">
        <f>AVERAGE(ParseTime(RunTime1!F3),ParseTime(RunTime2!F3),ParseTime(RunTime3!F3),ParseTime(RunTime4!F3))/AVERAGE(ParseTime(RunTime1!I3),ParseTime(RunTime2!I3),ParseTime(RunTime3!I3),ParseTime(RunTime4!I3))</f>
        <v>131.53883556720643</v>
      </c>
      <c r="Q3" s="2">
        <f>AVERAGE(ParseTime(RunTime1!H3),ParseTime(RunTime2!H3),ParseTime(RunTime3!H3),ParseTime(RunTime4!H3))/AVERAGE(ParseTime(RunTime1!J3),ParseTime(RunTime2!J3),ParseTime(RunTime3!J3),ParseTime(RunTime4!J3))</f>
        <v>0.9483858344746624</v>
      </c>
      <c r="R3" s="2">
        <f>AVERAGE(ParseTime(RunTime1!G3),ParseTime(RunTime2!G3),ParseTime(RunTime3!G3),ParseTime(RunTime4!G3))/AVERAGE(ParseTime(RunTime1!I3),ParseTime(RunTime2!I3),ParseTime(RunTime3!I3),ParseTime(RunTime4!I3))</f>
        <v>1.1331021944103845</v>
      </c>
      <c r="S3" s="2">
        <f>AVERAGE(ParseTime(RunTime1!H3),ParseTime(RunTime2!H3),ParseTime(RunTime3!H3),ParseTime(RunTime4!H3))/AVERAGE(ParseTime(RunTime1!I3),ParseTime(RunTime2!I3),ParseTime(RunTime3!I3),ParseTime(RunTime4!I3))</f>
        <v>1.0247346835228954</v>
      </c>
      <c r="T3" s="2">
        <f>AVERAGE(ParseTime(RunTime1!G3),ParseTime(RunTime2!G3),ParseTime(RunTime3!G3),ParseTime(RunTime4!G3))/AVERAGE(ParseTime(RunTime1!J3),ParseTime(RunTime2!J3),ParseTime(RunTime3!J3),ParseTime(RunTime4!J3))</f>
        <v>1.0486793191156329</v>
      </c>
      <c r="U3" t="s">
        <v>18</v>
      </c>
    </row>
    <row r="4" spans="1:21" x14ac:dyDescent="0.25">
      <c r="A4" t="s">
        <v>294</v>
      </c>
      <c r="B4" t="s">
        <v>26</v>
      </c>
      <c r="C4" t="s">
        <v>11</v>
      </c>
      <c r="D4" s="1">
        <v>328730</v>
      </c>
      <c r="E4">
        <v>2</v>
      </c>
      <c r="F4" t="str">
        <f>TEXT(AVERAGE(ParseTime(RunTime1!F4),ParseTime(RunTime2!F4),ParseTime(RunTime3!F4),ParseTime(RunTime4!F4))/86400,"mm""m ""ss.00""s""") &amp; " ± " &amp; TEXT(_xlfn.STDEV.S(ParseTime(RunTime1!F4),ParseTime(RunTime2!F4),ParseTime(RunTime3!F4),ParseTime(RunTime4!F4))/86400,"mm""m ""ss.00""s""")</f>
        <v>00m 14.42s ± 00m 00.29s</v>
      </c>
      <c r="G4" t="str">
        <f>TEXT(AVERAGE(ParseTime(RunTime1!G4),ParseTime(RunTime2!G4),ParseTime(RunTime3!G4),ParseTime(RunTime4!G4))/86400,"mm""m ""ss.00""s""") &amp; " ± " &amp; TEXT(_xlfn.STDEV.S(ParseTime(RunTime1!G4),ParseTime(RunTime2!G4),ParseTime(RunTime3!G4),ParseTime(RunTime4!G4))/86400,"mm""m ""ss.00""s""")</f>
        <v>00m 06.57s ± 00m 01.50s</v>
      </c>
      <c r="H4" t="str">
        <f>TEXT(AVERAGE(ParseTime(RunTime1!H4),ParseTime(RunTime2!H4),ParseTime(RunTime3!H4),ParseTime(RunTime4!H4))/86400,"mm""m ""ss.00""s""") &amp; " ± " &amp; TEXT(_xlfn.STDEV.S(ParseTime(RunTime1!H4),ParseTime(RunTime2!H4),ParseTime(RunTime3!H4),ParseTime(RunTime4!H4))/86400,"mm""m ""ss.00""s""")</f>
        <v>00m 04.96s ± 00m 00.66s</v>
      </c>
      <c r="I4" t="str">
        <f>TEXT(AVERAGE(ParseTime(RunTime1!I4),ParseTime(RunTime2!I4),ParseTime(RunTime3!I4),ParseTime(RunTime4!I4))/86400,"mm""m ""ss.00""s""") &amp; " ± " &amp; TEXT(_xlfn.STDEV.S(ParseTime(RunTime1!I4),ParseTime(RunTime2!I4),ParseTime(RunTime3!I4),ParseTime(RunTime4!I4))/86400,"mm""m ""ss.00""s""")</f>
        <v>00m 05.86s ± 00m 01.32s</v>
      </c>
      <c r="J4" t="str">
        <f>TEXT(AVERAGE(ParseTime(RunTime1!J4),ParseTime(RunTime2!J4),ParseTime(RunTime3!J4),ParseTime(RunTime4!J4))/86400,"mm""m ""ss.00""s""") &amp; " ± " &amp; TEXT(_xlfn.STDEV.S(ParseTime(RunTime1!J4),ParseTime(RunTime2!J4),ParseTime(RunTime3!J4),ParseTime(RunTime4!J4))/86400,"mm""m ""ss.00""s""")</f>
        <v>00m 06.55s ± 00m 00.74s</v>
      </c>
      <c r="K4" s="2">
        <f>AVERAGE(ParseTime(RunTime1!G4),ParseTime(RunTime2!G4),ParseTime(RunTime3!G4),ParseTime(RunTime4!G4))/AVERAGE(ParseTime(RunTime1!H4),ParseTime(RunTime2!H4),ParseTime(RunTime3!H4),ParseTime(RunTime4!H4))</f>
        <v>1.3244238236925714</v>
      </c>
      <c r="L4" s="2">
        <f>AVERAGE(ParseTime(RunTime1!F4),ParseTime(RunTime2!F4),ParseTime(RunTime3!F4),ParseTime(RunTime4!F4))
/
AVERAGE(ParseTime(RunTime1!G4),ParseTime(RunTime2!G4),ParseTime(RunTime3!G4),ParseTime(RunTime4!G4))</f>
        <v>2.1961008300967175</v>
      </c>
      <c r="M4" s="2">
        <f>AVERAGE(ParseTime(RunTime1!F4),ParseTime(RunTime2!F4),ParseTime(RunTime3!F4),ParseTime(RunTime4!F4))
/
AVERAGE(ParseTime(RunTime1!H4),ParseTime(RunTime2!H4),ParseTime(RunTime3!H4),ParseTime(RunTime4!H4))</f>
        <v>2.9085682586111252</v>
      </c>
      <c r="N4" s="2">
        <f>AVERAGE(ParseTime(RunTime1!I4),ParseTime(RunTime2!I4),ParseTime(RunTime3!I4),ParseTime(RunTime4!I4))/AVERAGE(ParseTime(RunTime1!J4),ParseTime(RunTime2!J4),ParseTime(RunTime3!J4),ParseTime(RunTime4!J4))</f>
        <v>0.89505630845581208</v>
      </c>
      <c r="O4" s="2">
        <f>AVERAGE(ParseTime(RunTime1!F4),ParseTime(RunTime2!F4),ParseTime(RunTime3!F4),ParseTime(RunTime4!F4))/AVERAGE(ParseTime(RunTime1!J4),ParseTime(RunTime2!J4),ParseTime(RunTime3!J4),ParseTime(RunTime4!J4))</f>
        <v>2.2017178850925747</v>
      </c>
      <c r="P4" s="2">
        <f>AVERAGE(ParseTime(RunTime1!F4),ParseTime(RunTime2!F4),ParseTime(RunTime3!F4),ParseTime(RunTime4!F4))/AVERAGE(ParseTime(RunTime1!I4),ParseTime(RunTime2!I4),ParseTime(RunTime3!I4),ParseTime(RunTime4!I4))</f>
        <v>2.4598652222127444</v>
      </c>
      <c r="Q4" s="2">
        <f>AVERAGE(ParseTime(RunTime1!H4),ParseTime(RunTime2!H4),ParseTime(RunTime3!H4),ParseTime(RunTime4!H4))/AVERAGE(ParseTime(RunTime1!J4),ParseTime(RunTime2!J4),ParseTime(RunTime3!J4),ParseTime(RunTime4!J4))</f>
        <v>0.75697652223706813</v>
      </c>
      <c r="R4" s="2">
        <f>AVERAGE(ParseTime(RunTime1!G4),ParseTime(RunTime2!G4),ParseTime(RunTime3!G4),ParseTime(RunTime4!G4))/AVERAGE(ParseTime(RunTime1!I4),ParseTime(RunTime2!I4),ParseTime(RunTime3!I4),ParseTime(RunTime4!I4))</f>
        <v>1.1201057749722769</v>
      </c>
      <c r="S4" s="2">
        <f>AVERAGE(ParseTime(RunTime1!H4),ParseTime(RunTime2!H4),ParseTime(RunTime3!H4),ParseTime(RunTime4!H4))/AVERAGE(ParseTime(RunTime1!I4),ParseTime(RunTime2!I4),ParseTime(RunTime3!I4),ParseTime(RunTime4!I4))</f>
        <v>0.84573061503028246</v>
      </c>
      <c r="T4" s="2">
        <f>AVERAGE(ParseTime(RunTime1!G4),ParseTime(RunTime2!G4),ParseTime(RunTime3!G4),ParseTime(RunTime4!G4))/AVERAGE(ParseTime(RunTime1!J4),ParseTime(RunTime2!J4),ParseTime(RunTime3!J4),ParseTime(RunTime4!J4))</f>
        <v>1.0025577400267227</v>
      </c>
      <c r="U4" t="s">
        <v>18</v>
      </c>
    </row>
    <row r="5" spans="1:21" x14ac:dyDescent="0.25">
      <c r="A5" t="s">
        <v>294</v>
      </c>
      <c r="B5" t="s">
        <v>26</v>
      </c>
      <c r="C5" t="s">
        <v>19</v>
      </c>
      <c r="D5" s="1">
        <v>335402</v>
      </c>
      <c r="E5">
        <v>2</v>
      </c>
      <c r="F5" t="s">
        <v>33</v>
      </c>
      <c r="G5" t="str">
        <f>TEXT(AVERAGE(ParseTime(RunTime1!G5),ParseTime(RunTime2!G5),ParseTime(RunTime3!G5),ParseTime(RunTime4!G5))/86400,"mm""m ""ss.00""s""") &amp; " ± " &amp; TEXT(_xlfn.STDEV.S(ParseTime(RunTime1!G5),ParseTime(RunTime2!G5),ParseTime(RunTime3!G5),ParseTime(RunTime4!G5))/86400,"mm""m ""ss.00""s""")</f>
        <v>00m 04.78s ± 00m 00.76s</v>
      </c>
      <c r="H5" t="str">
        <f>TEXT(AVERAGE(ParseTime(RunTime1!H5),ParseTime(RunTime2!H5),ParseTime(RunTime3!H5),ParseTime(RunTime4!H5))/86400,"mm""m ""ss.00""s""") &amp; " ± " &amp; TEXT(_xlfn.STDEV.S(ParseTime(RunTime1!H5),ParseTime(RunTime2!H5),ParseTime(RunTime3!H5),ParseTime(RunTime4!H5))/86400,"mm""m ""ss.00""s""")</f>
        <v>00m 06.24s ± 00m 00.50s</v>
      </c>
      <c r="I5" t="str">
        <f>TEXT(AVERAGE(ParseTime(RunTime1!I5),ParseTime(RunTime2!I5),ParseTime(RunTime3!I5),ParseTime(RunTime4!I5))/86400,"mm""m ""ss.00""s""") &amp; " ± " &amp; TEXT(_xlfn.STDEV.S(ParseTime(RunTime1!I5),ParseTime(RunTime2!I5),ParseTime(RunTime3!I5),ParseTime(RunTime4!I5))/86400,"mm""m ""ss.00""s""")</f>
        <v>00m 06.02s ± 00m 00.29s</v>
      </c>
      <c r="J5" t="str">
        <f>TEXT(AVERAGE(ParseTime(RunTime1!J5),ParseTime(RunTime2!J5),ParseTime(RunTime3!J5),ParseTime(RunTime4!J5))/86400,"mm""m ""ss.00""s""") &amp; " ± " &amp; TEXT(_xlfn.STDEV.S(ParseTime(RunTime1!J5),ParseTime(RunTime2!J5),ParseTime(RunTime3!J5),ParseTime(RunTime4!J5))/86400,"mm""m ""ss.00""s""")</f>
        <v>00m 05.68s ± 00m 00.13s</v>
      </c>
      <c r="K5" s="2">
        <f>AVERAGE(ParseTime(RunTime1!G5),ParseTime(RunTime2!G5),ParseTime(RunTime3!G5),ParseTime(RunTime4!G5))/AVERAGE(ParseTime(RunTime1!H5),ParseTime(RunTime2!H5),ParseTime(RunTime3!H5),ParseTime(RunTime4!H5))</f>
        <v>0.76522400608559882</v>
      </c>
      <c r="L5" s="3" t="s">
        <v>33</v>
      </c>
      <c r="M5" s="2" t="s">
        <v>33</v>
      </c>
      <c r="N5" s="2">
        <f>AVERAGE(ParseTime(RunTime1!I5),ParseTime(RunTime2!I5),ParseTime(RunTime3!I5),ParseTime(RunTime4!I5))/AVERAGE(ParseTime(RunTime1!J5),ParseTime(RunTime2!J5),ParseTime(RunTime3!J5),ParseTime(RunTime4!J5))</f>
        <v>1.0602536997885834</v>
      </c>
      <c r="O5" s="2" t="s">
        <v>33</v>
      </c>
      <c r="P5" s="2" t="s">
        <v>33</v>
      </c>
      <c r="Q5" s="2">
        <f>AVERAGE(ParseTime(RunTime1!H5),ParseTime(RunTime2!H5),ParseTime(RunTime3!H5),ParseTime(RunTime4!H5))/AVERAGE(ParseTime(RunTime1!J5),ParseTime(RunTime2!J5),ParseTime(RunTime3!J5),ParseTime(RunTime4!J5))</f>
        <v>1.1001145172656799</v>
      </c>
      <c r="R5" s="2">
        <f>AVERAGE(ParseTime(RunTime1!G5),ParseTime(RunTime2!G5),ParseTime(RunTime3!G5),ParseTime(RunTime4!G5))/AVERAGE(ParseTime(RunTime1!I5),ParseTime(RunTime2!I5),ParseTime(RunTime3!I5),ParseTime(RunTime4!I5))</f>
        <v>0.79399302093718849</v>
      </c>
      <c r="S5" s="2">
        <f>AVERAGE(ParseTime(RunTime1!H5),ParseTime(RunTime2!H5),ParseTime(RunTime3!H5),ParseTime(RunTime4!H5))/AVERAGE(ParseTime(RunTime1!I5),ParseTime(RunTime2!I5),ParseTime(RunTime3!I5),ParseTime(RunTime4!I5))</f>
        <v>1.0375955466932534</v>
      </c>
      <c r="T5" s="2">
        <f>AVERAGE(ParseTime(RunTime1!G5),ParseTime(RunTime2!G5),ParseTime(RunTime3!G5),ParseTime(RunTime4!G5))/AVERAGE(ParseTime(RunTime1!J5),ParseTime(RunTime2!J5),ParseTime(RunTime3!J5),ParseTime(RunTime4!J5))</f>
        <v>0.84183403805496826</v>
      </c>
      <c r="U5" t="s">
        <v>297</v>
      </c>
    </row>
    <row r="6" spans="1:21" x14ac:dyDescent="0.25">
      <c r="A6" t="s">
        <v>294</v>
      </c>
      <c r="B6" t="s">
        <v>37</v>
      </c>
      <c r="C6" t="s">
        <v>11</v>
      </c>
      <c r="D6" s="1">
        <v>284815</v>
      </c>
      <c r="E6">
        <v>2</v>
      </c>
      <c r="F6" t="str">
        <f>TEXT(AVERAGE(ParseTime(RunTime1!F6),ParseTime(RunTime2!F6),ParseTime(RunTime3!F6),ParseTime(RunTime4!F6))/86400,"mm""m ""ss.00""s""") &amp; " ± " &amp; TEXT(_xlfn.STDEV.S(ParseTime(RunTime1!F6),ParseTime(RunTime2!F6),ParseTime(RunTime3!F6),ParseTime(RunTime4!F6))/86400,"mm""m ""ss.00""s""")</f>
        <v>00m 09.14s ± 00m 00.56s</v>
      </c>
      <c r="G6" t="str">
        <f>TEXT(AVERAGE(ParseTime(RunTime1!G6),ParseTime(RunTime2!G6),ParseTime(RunTime3!G6),ParseTime(RunTime4!G6))/86400,"mm""m ""ss.00""s""") &amp; " ± " &amp; TEXT(_xlfn.STDEV.S(ParseTime(RunTime1!G6),ParseTime(RunTime2!G6),ParseTime(RunTime3!G6),ParseTime(RunTime4!G6))/86400,"mm""m ""ss.00""s""")</f>
        <v>00m 04.60s ± 00m 00.29s</v>
      </c>
      <c r="H6" t="str">
        <f>TEXT(AVERAGE(ParseTime(RunTime1!H6),ParseTime(RunTime2!H6),ParseTime(RunTime3!H6),ParseTime(RunTime4!H6))/86400,"mm""m ""ss.00""s""") &amp; " ± " &amp; TEXT(_xlfn.STDEV.S(ParseTime(RunTime1!H6),ParseTime(RunTime2!H6),ParseTime(RunTime3!H6),ParseTime(RunTime4!H6))/86400,"mm""m ""ss.00""s""")</f>
        <v>00m 06.15s ± 00m 02.99s</v>
      </c>
      <c r="I6" t="str">
        <f>TEXT(AVERAGE(ParseTime(RunTime1!I6),ParseTime(RunTime2!I6),ParseTime(RunTime3!I6),ParseTime(RunTime4!I6))/86400,"mm""m ""ss.00""s""") &amp; " ± " &amp; TEXT(_xlfn.STDEV.S(ParseTime(RunTime1!I6),ParseTime(RunTime2!I6),ParseTime(RunTime3!I6),ParseTime(RunTime4!I6))/86400,"mm""m ""ss.00""s""")</f>
        <v>00m 04.97s ± 00m 01.25s</v>
      </c>
      <c r="J6" t="str">
        <f>TEXT(AVERAGE(ParseTime(RunTime1!J6),ParseTime(RunTime2!J6),ParseTime(RunTime3!J6),ParseTime(RunTime4!J6))/86400,"mm""m ""ss.00""s""") &amp; " ± " &amp; TEXT(_xlfn.STDEV.S(ParseTime(RunTime1!J6),ParseTime(RunTime2!J6),ParseTime(RunTime3!J6),ParseTime(RunTime4!J6))/86400,"mm""m ""ss.00""s""")</f>
        <v>00m 06.18s ± 00m 00.82s</v>
      </c>
      <c r="K6" s="2">
        <f>AVERAGE(ParseTime(RunTime1!G6),ParseTime(RunTime2!G6),ParseTime(RunTime3!G6),ParseTime(RunTime4!G6))/AVERAGE(ParseTime(RunTime1!H6),ParseTime(RunTime2!H6),ParseTime(RunTime3!H6),ParseTime(RunTime4!H6))</f>
        <v>0.7479264921125387</v>
      </c>
      <c r="L6" s="2">
        <f>AVERAGE(ParseTime(RunTime1!F6),ParseTime(RunTime2!F6),ParseTime(RunTime3!F6),ParseTime(RunTime4!F6))
/
AVERAGE(ParseTime(RunTime1!G6),ParseTime(RunTime2!G6),ParseTime(RunTime3!G6),ParseTime(RunTime4!G6))</f>
        <v>1.9874429223744292</v>
      </c>
      <c r="M6" s="2">
        <f>AVERAGE(ParseTime(RunTime1!F6),ParseTime(RunTime2!F6),ParseTime(RunTime3!F6),ParseTime(RunTime4!F6))
/
AVERAGE(ParseTime(RunTime1!H6),ParseTime(RunTime2!H6),ParseTime(RunTime3!H6),ParseTime(RunTime4!H6))</f>
        <v>1.4864612132053991</v>
      </c>
      <c r="N6" s="2">
        <f>AVERAGE(ParseTime(RunTime1!I6),ParseTime(RunTime2!I6),ParseTime(RunTime3!I6),ParseTime(RunTime4!I6))/AVERAGE(ParseTime(RunTime1!J6),ParseTime(RunTime2!J6),ParseTime(RunTime3!J6),ParseTime(RunTime4!J6))</f>
        <v>0.80349556985070991</v>
      </c>
      <c r="O6" s="2">
        <f>AVERAGE(ParseTime(RunTime1!F6),ParseTime(RunTime2!F6),ParseTime(RunTime3!F6),ParseTime(RunTime4!F6))/AVERAGE(ParseTime(RunTime1!J6),ParseTime(RunTime2!J6),ParseTime(RunTime3!J6),ParseTime(RunTime4!J6))</f>
        <v>1.4791843670348341</v>
      </c>
      <c r="P6" s="2">
        <f>AVERAGE(ParseTime(RunTime1!F6),ParseTime(RunTime2!F6),ParseTime(RunTime3!F6),ParseTime(RunTime4!F6))/AVERAGE(ParseTime(RunTime1!I6),ParseTime(RunTime2!I6),ParseTime(RunTime3!I6),ParseTime(RunTime4!I6))</f>
        <v>1.8409365558912387</v>
      </c>
      <c r="Q6" s="2">
        <f>AVERAGE(ParseTime(RunTime1!H6),ParseTime(RunTime2!H6),ParseTime(RunTime3!H6),ParseTime(RunTime4!H6))/AVERAGE(ParseTime(RunTime1!J6),ParseTime(RunTime2!J6),ParseTime(RunTime3!J6),ParseTime(RunTime4!J6))</f>
        <v>0.99510458388963052</v>
      </c>
      <c r="R6" s="2">
        <f>AVERAGE(ParseTime(RunTime1!G6),ParseTime(RunTime2!G6),ParseTime(RunTime3!G6),ParseTime(RunTime4!G6))/AVERAGE(ParseTime(RunTime1!I6),ParseTime(RunTime2!I6),ParseTime(RunTime3!I6),ParseTime(RunTime4!I6))</f>
        <v>0.92628398791540789</v>
      </c>
      <c r="S6" s="2">
        <f>AVERAGE(ParseTime(RunTime1!H6),ParseTime(RunTime2!H6),ParseTime(RunTime3!H6),ParseTime(RunTime4!H6))/AVERAGE(ParseTime(RunTime1!I6),ParseTime(RunTime2!I6),ParseTime(RunTime3!I6),ParseTime(RunTime4!I6))</f>
        <v>1.2384692849949648</v>
      </c>
      <c r="T6" s="2">
        <f>AVERAGE(ParseTime(RunTime1!G6),ParseTime(RunTime2!G6),ParseTime(RunTime3!G6),ParseTime(RunTime4!G6))/AVERAGE(ParseTime(RunTime1!J6),ParseTime(RunTime2!J6),ParseTime(RunTime3!J6),ParseTime(RunTime4!J6))</f>
        <v>0.74426508071367881</v>
      </c>
      <c r="U6" t="s">
        <v>18</v>
      </c>
    </row>
    <row r="7" spans="1:21" x14ac:dyDescent="0.25">
      <c r="A7" t="s">
        <v>294</v>
      </c>
      <c r="B7" t="s">
        <v>37</v>
      </c>
      <c r="C7" t="s">
        <v>19</v>
      </c>
      <c r="D7" s="1">
        <v>280114</v>
      </c>
      <c r="E7">
        <v>2</v>
      </c>
      <c r="F7" t="str">
        <f>TEXT(AVERAGE(ParseTime(RunTime1!F7),ParseTime(RunTime2!F7),ParseTime(RunTime3!F7),ParseTime(RunTime4!F7))/86400,"mm""m ""ss.00""s""") &amp; " ± " &amp; TEXT(_xlfn.STDEV.S(ParseTime(RunTime1!F7),ParseTime(RunTime2!F7),ParseTime(RunTime3!F7),ParseTime(RunTime4!F7))/86400,"mm""m ""ss.00""s""")</f>
        <v>00m 10.13s ± 00m 02.76s</v>
      </c>
      <c r="G7" t="str">
        <f>TEXT(AVERAGE(ParseTime(RunTime1!G7),ParseTime(RunTime2!G7),ParseTime(RunTime3!G7),ParseTime(RunTime4!G7))/86400,"mm""m ""ss.00""s""") &amp; " ± " &amp; TEXT(_xlfn.STDEV.S(ParseTime(RunTime1!G7),ParseTime(RunTime2!G7),ParseTime(RunTime3!G7),ParseTime(RunTime4!G7))/86400,"mm""m ""ss.00""s""")</f>
        <v>00m 03.99s ± 00m 01.09s</v>
      </c>
      <c r="H7" t="str">
        <f>TEXT(AVERAGE(ParseTime(RunTime1!H7),ParseTime(RunTime2!H7),ParseTime(RunTime3!H7),ParseTime(RunTime4!H7))/86400,"mm""m ""ss.00""s""") &amp; " ± " &amp; TEXT(_xlfn.STDEV.S(ParseTime(RunTime1!H7),ParseTime(RunTime2!H7),ParseTime(RunTime3!H7),ParseTime(RunTime4!H7))/86400,"mm""m ""ss.00""s""")</f>
        <v>00m 05.09s ± 00m 01.18s</v>
      </c>
      <c r="I7" t="str">
        <f>TEXT(AVERAGE(ParseTime(RunTime1!I7),ParseTime(RunTime2!I7),ParseTime(RunTime3!I7),ParseTime(RunTime4!I7))/86400,"mm""m ""ss.00""s""") &amp; " ± " &amp; TEXT(_xlfn.STDEV.S(ParseTime(RunTime1!I7),ParseTime(RunTime2!I7),ParseTime(RunTime3!I7),ParseTime(RunTime4!I7))/86400,"mm""m ""ss.00""s""")</f>
        <v>00m 05.33s ± 00m 00.70s</v>
      </c>
      <c r="J7" t="str">
        <f>TEXT(AVERAGE(ParseTime(RunTime1!J7),ParseTime(RunTime2!J7),ParseTime(RunTime3!J7),ParseTime(RunTime4!J7))/86400,"mm""m ""ss.00""s""") &amp; " ± " &amp; TEXT(_xlfn.STDEV.S(ParseTime(RunTime1!J7),ParseTime(RunTime2!J7),ParseTime(RunTime3!J7),ParseTime(RunTime4!J7))/86400,"mm""m ""ss.00""s""")</f>
        <v>00m 17.45s ± 00m 22.55s</v>
      </c>
      <c r="K7" s="2">
        <f>AVERAGE(ParseTime(RunTime1!G7),ParseTime(RunTime2!G7),ParseTime(RunTime3!G7),ParseTime(RunTime4!G7))/AVERAGE(ParseTime(RunTime1!H7),ParseTime(RunTime2!H7),ParseTime(RunTime3!H7),ParseTime(RunTime4!H7))</f>
        <v>0.78358722358722355</v>
      </c>
      <c r="L7" s="2">
        <f>AVERAGE(ParseTime(RunTime1!F7),ParseTime(RunTime2!F7),ParseTime(RunTime3!F7),ParseTime(RunTime4!F7))
/
AVERAGE(ParseTime(RunTime1!G7),ParseTime(RunTime2!G7),ParseTime(RunTime3!G7),ParseTime(RunTime4!G7))</f>
        <v>2.5411388435971403</v>
      </c>
      <c r="M7" s="2">
        <f>AVERAGE(ParseTime(RunTime1!F7),ParseTime(RunTime2!F7),ParseTime(RunTime3!F7),ParseTime(RunTime4!F7))
/
AVERAGE(ParseTime(RunTime1!H7),ParseTime(RunTime2!H7),ParseTime(RunTime3!H7),ParseTime(RunTime4!H7))</f>
        <v>1.9912039312039311</v>
      </c>
      <c r="N7" s="2">
        <f>AVERAGE(ParseTime(RunTime1!I7),ParseTime(RunTime2!I7),ParseTime(RunTime3!I7),ParseTime(RunTime4!I7))/AVERAGE(ParseTime(RunTime1!J7),ParseTime(RunTime2!J7),ParseTime(RunTime3!J7),ParseTime(RunTime4!J7))</f>
        <v>0.30535105560170733</v>
      </c>
      <c r="O7" s="2">
        <f>AVERAGE(ParseTime(RunTime1!F7),ParseTime(RunTime2!F7),ParseTime(RunTime3!F7),ParseTime(RunTime4!F7))/AVERAGE(ParseTime(RunTime1!J7),ParseTime(RunTime2!J7),ParseTime(RunTime3!J7),ParseTime(RunTime4!J7))</f>
        <v>0.58038041765733772</v>
      </c>
      <c r="P7" s="2">
        <f>AVERAGE(ParseTime(RunTime1!F7),ParseTime(RunTime2!F7),ParseTime(RunTime3!F7),ParseTime(RunTime4!F7))/AVERAGE(ParseTime(RunTime1!I7),ParseTime(RunTime2!I7),ParseTime(RunTime3!I7),ParseTime(RunTime4!I7))</f>
        <v>1.900698907078193</v>
      </c>
      <c r="Q7" s="2">
        <f>AVERAGE(ParseTime(RunTime1!H7),ParseTime(RunTime2!H7),ParseTime(RunTime3!H7),ParseTime(RunTime4!H7))/AVERAGE(ParseTime(RunTime1!J7),ParseTime(RunTime2!J7),ParseTime(RunTime3!J7),ParseTime(RunTime4!J7))</f>
        <v>0.2914721132086282</v>
      </c>
      <c r="R7" s="2">
        <f>AVERAGE(ParseTime(RunTime1!G7),ParseTime(RunTime2!G7),ParseTime(RunTime3!G7),ParseTime(RunTime4!G7))/AVERAGE(ParseTime(RunTime1!I7),ParseTime(RunTime2!I7),ParseTime(RunTime3!I7),ParseTime(RunTime4!I7))</f>
        <v>0.74797129321262712</v>
      </c>
      <c r="S7" s="2">
        <f>AVERAGE(ParseTime(RunTime1!H7),ParseTime(RunTime2!H7),ParseTime(RunTime3!H7),ParseTime(RunTime4!H7))/AVERAGE(ParseTime(RunTime1!I7),ParseTime(RunTime2!I7),ParseTime(RunTime3!I7),ParseTime(RunTime4!I7))</f>
        <v>0.95454758665978701</v>
      </c>
      <c r="T7" s="2">
        <f>AVERAGE(ParseTime(RunTime1!G7),ParseTime(RunTime2!G7),ParseTime(RunTime3!G7),ParseTime(RunTime4!G7))/AVERAGE(ParseTime(RunTime1!J7),ParseTime(RunTime2!J7),ParseTime(RunTime3!J7),ParseTime(RunTime4!J7))</f>
        <v>0.22839382394224986</v>
      </c>
      <c r="U7" t="s">
        <v>18</v>
      </c>
    </row>
    <row r="8" spans="1:21" x14ac:dyDescent="0.25">
      <c r="A8" t="s">
        <v>294</v>
      </c>
      <c r="B8" t="s">
        <v>50</v>
      </c>
      <c r="C8" t="s">
        <v>11</v>
      </c>
      <c r="D8" s="1">
        <v>306846</v>
      </c>
      <c r="E8">
        <v>2</v>
      </c>
      <c r="F8" t="str">
        <f>TEXT(AVERAGE(ParseTime(RunTime1!F8),ParseTime(RunTime2!F8),ParseTime(RunTime3!F8),ParseTime(RunTime4!F8))/86400,"mm""m ""ss.00""s""") &amp; " ± " &amp; TEXT(_xlfn.STDEV.S(ParseTime(RunTime1!F8),ParseTime(RunTime2!F8),ParseTime(RunTime3!F8),ParseTime(RunTime4!F8))/86400,"mm""m ""ss.00""s""")</f>
        <v>00m 09.78s ± 00m 01.78s</v>
      </c>
      <c r="G8" t="str">
        <f>TEXT(AVERAGE(ParseTime(RunTime1!G8),ParseTime(RunTime2!G8),ParseTime(RunTime3!G8),ParseTime(RunTime4!G8))/86400,"mm""m ""ss.00""s""") &amp; " ± " &amp; TEXT(_xlfn.STDEV.S(ParseTime(RunTime1!G8),ParseTime(RunTime2!G8),ParseTime(RunTime3!G8),ParseTime(RunTime4!G8))/86400,"mm""m ""ss.00""s""")</f>
        <v>00m 04.54s ± 00m 00.53s</v>
      </c>
      <c r="H8" t="str">
        <f>TEXT(AVERAGE(ParseTime(RunTime1!H8),ParseTime(RunTime2!H8),ParseTime(RunTime3!H8),ParseTime(RunTime4!H8))/86400,"mm""m ""ss.00""s""") &amp; " ± " &amp; TEXT(_xlfn.STDEV.S(ParseTime(RunTime1!H8),ParseTime(RunTime2!H8),ParseTime(RunTime3!H8),ParseTime(RunTime4!H8))/86400,"mm""m ""ss.00""s""")</f>
        <v>00m 04.18s ± 00m 00.81s</v>
      </c>
      <c r="I8" t="str">
        <f>TEXT(AVERAGE(ParseTime(RunTime1!I8),ParseTime(RunTime2!I8),ParseTime(RunTime3!I8),ParseTime(RunTime4!I8))/86400,"mm""m ""ss.00""s""") &amp; " ± " &amp; TEXT(_xlfn.STDEV.S(ParseTime(RunTime1!I8),ParseTime(RunTime2!I8),ParseTime(RunTime3!I8),ParseTime(RunTime4!I8))/86400,"mm""m ""ss.00""s""")</f>
        <v>00m 04.89s ± 00m 00.80s</v>
      </c>
      <c r="J8" t="str">
        <f>TEXT(AVERAGE(ParseTime(RunTime1!J8),ParseTime(RunTime2!J8),ParseTime(RunTime3!J8),ParseTime(RunTime4!J8))/86400,"mm""m ""ss.00""s""") &amp; " ± " &amp; TEXT(_xlfn.STDEV.S(ParseTime(RunTime1!J8),ParseTime(RunTime2!J8),ParseTime(RunTime3!J8),ParseTime(RunTime4!J8))/86400,"mm""m ""ss.00""s""")</f>
        <v>00m 05.69s ± 00m 00.48s</v>
      </c>
      <c r="K8" s="2">
        <f>AVERAGE(ParseTime(RunTime1!G8),ParseTime(RunTime2!G8),ParseTime(RunTime3!G8),ParseTime(RunTime4!G8))/AVERAGE(ParseTime(RunTime1!H8),ParseTime(RunTime2!H8),ParseTime(RunTime3!H8),ParseTime(RunTime4!H8))</f>
        <v>1.0848673201051877</v>
      </c>
      <c r="L8" s="2">
        <f>AVERAGE(ParseTime(RunTime1!F8),ParseTime(RunTime2!F8),ParseTime(RunTime3!F8),ParseTime(RunTime4!F8))
/
AVERAGE(ParseTime(RunTime1!G8),ParseTime(RunTime2!G8),ParseTime(RunTime3!G8),ParseTime(RunTime4!G8))</f>
        <v>2.155244601145879</v>
      </c>
      <c r="M8" s="2">
        <f>AVERAGE(ParseTime(RunTime1!F8),ParseTime(RunTime2!F8),ParseTime(RunTime3!F8),ParseTime(RunTime4!F8))
/
AVERAGE(ParseTime(RunTime1!H8),ParseTime(RunTime2!H8),ParseTime(RunTime3!H8),ParseTime(RunTime4!H8))</f>
        <v>2.3381544346163041</v>
      </c>
      <c r="N8" s="2">
        <f>AVERAGE(ParseTime(RunTime1!I8),ParseTime(RunTime2!I8),ParseTime(RunTime3!I8),ParseTime(RunTime4!I8))/AVERAGE(ParseTime(RunTime1!J8),ParseTime(RunTime2!J8),ParseTime(RunTime3!J8),ParseTime(RunTime4!J8))</f>
        <v>0.85853615675248229</v>
      </c>
      <c r="O8" s="2">
        <f>AVERAGE(ParseTime(RunTime1!F8),ParseTime(RunTime2!F8),ParseTime(RunTime3!F8),ParseTime(RunTime4!F8))/AVERAGE(ParseTime(RunTime1!J8),ParseTime(RunTime2!J8),ParseTime(RunTime3!J8),ParseTime(RunTime4!J8))</f>
        <v>1.7187417625867674</v>
      </c>
      <c r="P8" s="2">
        <f>AVERAGE(ParseTime(RunTime1!F8),ParseTime(RunTime2!F8),ParseTime(RunTime3!F8),ParseTime(RunTime4!F8))/AVERAGE(ParseTime(RunTime1!I8),ParseTime(RunTime2!I8),ParseTime(RunTime3!I8),ParseTime(RunTime4!I8))</f>
        <v>2.001944529730836</v>
      </c>
      <c r="Q8" s="2">
        <f>AVERAGE(ParseTime(RunTime1!H8),ParseTime(RunTime2!H8),ParseTime(RunTime3!H8),ParseTime(RunTime4!H8))/AVERAGE(ParseTime(RunTime1!J8),ParseTime(RunTime2!J8),ParseTime(RunTime3!J8),ParseTime(RunTime4!J8))</f>
        <v>0.73508479044020736</v>
      </c>
      <c r="R8" s="2">
        <f>AVERAGE(ParseTime(RunTime1!G8),ParseTime(RunTime2!G8),ParseTime(RunTime3!G8),ParseTime(RunTime4!G8))/AVERAGE(ParseTime(RunTime1!I8),ParseTime(RunTime2!I8),ParseTime(RunTime3!I8),ParseTime(RunTime4!I8))</f>
        <v>0.92887114931941461</v>
      </c>
      <c r="S8" s="2">
        <f>AVERAGE(ParseTime(RunTime1!H8),ParseTime(RunTime2!H8),ParseTime(RunTime3!H8),ParseTime(RunTime4!H8))/AVERAGE(ParseTime(RunTime1!I8),ParseTime(RunTime2!I8),ParseTime(RunTime3!I8),ParseTime(RunTime4!I8))</f>
        <v>0.85620714358816896</v>
      </c>
      <c r="T8" s="2">
        <f>AVERAGE(ParseTime(RunTime1!G8),ParseTime(RunTime2!G8),ParseTime(RunTime3!G8),ParseTime(RunTime4!G8))/AVERAGE(ParseTime(RunTime1!J8),ParseTime(RunTime2!J8),ParseTime(RunTime3!J8),ParseTime(RunTime4!J8))</f>
        <v>0.79746946665495122</v>
      </c>
      <c r="U8" t="s">
        <v>18</v>
      </c>
    </row>
    <row r="9" spans="1:21" x14ac:dyDescent="0.25">
      <c r="A9" t="s">
        <v>294</v>
      </c>
      <c r="B9" t="s">
        <v>50</v>
      </c>
      <c r="C9" t="s">
        <v>19</v>
      </c>
      <c r="D9" s="1">
        <v>301639</v>
      </c>
      <c r="E9">
        <v>2</v>
      </c>
      <c r="F9" t="str">
        <f>TEXT(AVERAGE(ParseTime(RunTime1!F9),ParseTime(RunTime2!F9),ParseTime(RunTime3!F9),ParseTime(RunTime4!F9))/86400,"mm""m ""ss.00""s""") &amp; " ± " &amp; TEXT(_xlfn.STDEV.S(ParseTime(RunTime1!F9),ParseTime(RunTime2!F9),ParseTime(RunTime3!F9),ParseTime(RunTime4!F9))/86400,"mm""m ""ss.00""s""")</f>
        <v>00m 09.66s ± 00m 02.26s</v>
      </c>
      <c r="G9" t="str">
        <f>TEXT(AVERAGE(ParseTime(RunTime1!G9),ParseTime(RunTime2!G9),ParseTime(RunTime3!G9),ParseTime(RunTime4!G9))/86400,"mm""m ""ss.00""s""") &amp; " ± " &amp; TEXT(_xlfn.STDEV.S(ParseTime(RunTime1!G9),ParseTime(RunTime2!G9),ParseTime(RunTime3!G9),ParseTime(RunTime4!G9))/86400,"mm""m ""ss.00""s""")</f>
        <v>00m 03.85s ± 00m 00.84s</v>
      </c>
      <c r="H9" t="str">
        <f>TEXT(AVERAGE(ParseTime(RunTime1!H9),ParseTime(RunTime2!H9),ParseTime(RunTime3!H9),ParseTime(RunTime4!H9))/86400,"mm""m ""ss.00""s""") &amp; " ± " &amp; TEXT(_xlfn.STDEV.S(ParseTime(RunTime1!H9),ParseTime(RunTime2!H9),ParseTime(RunTime3!H9),ParseTime(RunTime4!H9))/86400,"mm""m ""ss.00""s""")</f>
        <v>00m 04.88s ± 00m 01.59s</v>
      </c>
      <c r="I9" t="str">
        <f>TEXT(AVERAGE(ParseTime(RunTime1!I9),ParseTime(RunTime2!I9),ParseTime(RunTime3!I9),ParseTime(RunTime4!I9))/86400,"mm""m ""ss.00""s""") &amp; " ± " &amp; TEXT(_xlfn.STDEV.S(ParseTime(RunTime1!I9),ParseTime(RunTime2!I9),ParseTime(RunTime3!I9),ParseTime(RunTime4!I9))/86400,"mm""m ""ss.00""s""")</f>
        <v>00m 05.06s ± 00m 00.49s</v>
      </c>
      <c r="J9" t="str">
        <f>TEXT(AVERAGE(ParseTime(RunTime1!J9),ParseTime(RunTime2!J9),ParseTime(RunTime3!J9),ParseTime(RunTime4!J9))/86400,"mm""m ""ss.00""s""") &amp; " ± " &amp; TEXT(_xlfn.STDEV.S(ParseTime(RunTime1!J9),ParseTime(RunTime2!J9),ParseTime(RunTime3!J9),ParseTime(RunTime4!J9))/86400,"mm""m ""ss.00""s""")</f>
        <v>00m 06.81s ± 00m 02.77s</v>
      </c>
      <c r="K9" s="2">
        <f>AVERAGE(ParseTime(RunTime1!G9),ParseTime(RunTime2!G9),ParseTime(RunTime3!G9),ParseTime(RunTime4!G9))/AVERAGE(ParseTime(RunTime1!H9),ParseTime(RunTime2!H9),ParseTime(RunTime3!H9),ParseTime(RunTime4!H9))</f>
        <v>0.78763826300696438</v>
      </c>
      <c r="L9" s="2">
        <f>AVERAGE(ParseTime(RunTime1!F9),ParseTime(RunTime2!F9),ParseTime(RunTime3!F9),ParseTime(RunTime4!F9))
/
AVERAGE(ParseTime(RunTime1!G9),ParseTime(RunTime2!G9),ParseTime(RunTime3!G9),ParseTime(RunTime4!G9))</f>
        <v>2.5120603341785324</v>
      </c>
      <c r="M9" s="2">
        <f>AVERAGE(ParseTime(RunTime1!F9),ParseTime(RunTime2!F9),ParseTime(RunTime3!F9),ParseTime(RunTime4!F9))
/
AVERAGE(ParseTime(RunTime1!H9),ParseTime(RunTime2!H9),ParseTime(RunTime3!H9),ParseTime(RunTime4!H9))</f>
        <v>1.9785948381810736</v>
      </c>
      <c r="N9" s="2">
        <f>AVERAGE(ParseTime(RunTime1!I9),ParseTime(RunTime2!I9),ParseTime(RunTime3!I9),ParseTime(RunTime4!I9))/AVERAGE(ParseTime(RunTime1!J9),ParseTime(RunTime2!J9),ParseTime(RunTime3!J9),ParseTime(RunTime4!J9))</f>
        <v>0.74340439584632878</v>
      </c>
      <c r="O9" s="2">
        <f>AVERAGE(ParseTime(RunTime1!F9),ParseTime(RunTime2!F9),ParseTime(RunTime3!F9),ParseTime(RunTime4!F9))/AVERAGE(ParseTime(RunTime1!J9),ParseTime(RunTime2!J9),ParseTime(RunTime3!J9),ParseTime(RunTime4!J9))</f>
        <v>1.4177521740725794</v>
      </c>
      <c r="P9" s="2">
        <f>AVERAGE(ParseTime(RunTime1!F9),ParseTime(RunTime2!F9),ParseTime(RunTime3!F9),ParseTime(RunTime4!F9))/AVERAGE(ParseTime(RunTime1!I9),ParseTime(RunTime2!I9),ParseTime(RunTime3!I9),ParseTime(RunTime4!I9))</f>
        <v>1.9071076011846007</v>
      </c>
      <c r="Q9" s="2">
        <f>AVERAGE(ParseTime(RunTime1!H9),ParseTime(RunTime2!H9),ParseTime(RunTime3!H9),ParseTime(RunTime4!H9))/AVERAGE(ParseTime(RunTime1!J9),ParseTime(RunTime2!J9),ParseTime(RunTime3!J9),ParseTime(RunTime4!J9))</f>
        <v>0.71654496752651076</v>
      </c>
      <c r="R9" s="2">
        <f>AVERAGE(ParseTime(RunTime1!G9),ParseTime(RunTime2!G9),ParseTime(RunTime3!G9),ParseTime(RunTime4!G9))/AVERAGE(ParseTime(RunTime1!I9),ParseTime(RunTime2!I9),ParseTime(RunTime3!I9),ParseTime(RunTime4!I9))</f>
        <v>0.75918065153010861</v>
      </c>
      <c r="S9" s="2">
        <f>AVERAGE(ParseTime(RunTime1!H9),ParseTime(RunTime2!H9),ParseTime(RunTime3!H9),ParseTime(RunTime4!H9))/AVERAGE(ParseTime(RunTime1!I9),ParseTime(RunTime2!I9),ParseTime(RunTime3!I9),ParseTime(RunTime4!I9))</f>
        <v>0.96386969397828237</v>
      </c>
      <c r="T9" s="2">
        <f>AVERAGE(ParseTime(RunTime1!G9),ParseTime(RunTime2!G9),ParseTime(RunTime3!G9),ParseTime(RunTime4!G9))/AVERAGE(ParseTime(RunTime1!J9),ParseTime(RunTime2!J9),ParseTime(RunTime3!J9),ParseTime(RunTime4!J9))</f>
        <v>0.56437823358896266</v>
      </c>
      <c r="U9" t="s">
        <v>18</v>
      </c>
    </row>
    <row r="10" spans="1:21" x14ac:dyDescent="0.25">
      <c r="A10" t="s">
        <v>294</v>
      </c>
      <c r="B10" t="s">
        <v>63</v>
      </c>
      <c r="C10" t="s">
        <v>11</v>
      </c>
      <c r="D10" s="1">
        <v>243732</v>
      </c>
      <c r="E10">
        <v>2</v>
      </c>
      <c r="F10" t="str">
        <f>TEXT(AVERAGE(ParseTime(RunTime1!F10),ParseTime(RunTime2!F10),ParseTime(RunTime3!F10),ParseTime(RunTime4!F10))/86400,"mm""m ""ss.00""s""") &amp; " ± " &amp; TEXT(_xlfn.STDEV.S(ParseTime(RunTime1!F10),ParseTime(RunTime2!F10),ParseTime(RunTime3!F10),ParseTime(RunTime4!F10))/86400,"mm""m ""ss.00""s""")</f>
        <v>00m 14.63s ± 00m 01.92s</v>
      </c>
      <c r="G10" t="str">
        <f>TEXT(AVERAGE(ParseTime(RunTime1!G10),ParseTime(RunTime2!G10),ParseTime(RunTime3!G10),ParseTime(RunTime4!G10))/86400,"mm""m ""ss.00""s""") &amp; " ± " &amp; TEXT(_xlfn.STDEV.S(ParseTime(RunTime1!G10),ParseTime(RunTime2!G10),ParseTime(RunTime3!G10),ParseTime(RunTime4!G10))/86400,"mm""m ""ss.00""s""")</f>
        <v>00m 04.81s ± 00m 01.20s</v>
      </c>
      <c r="H10" t="str">
        <f>TEXT(AVERAGE(ParseTime(RunTime1!H10),ParseTime(RunTime2!H10),ParseTime(RunTime3!H10),ParseTime(RunTime4!H10))/86400,"mm""m ""ss.00""s""") &amp; " ± " &amp; TEXT(_xlfn.STDEV.S(ParseTime(RunTime1!H10),ParseTime(RunTime2!H10),ParseTime(RunTime3!H10),ParseTime(RunTime4!H10))/86400,"mm""m ""ss.00""s""")</f>
        <v>00m 04.85s ± 00m 01.34s</v>
      </c>
      <c r="I10" t="str">
        <f>TEXT(AVERAGE(ParseTime(RunTime1!I10),ParseTime(RunTime2!I10),ParseTime(RunTime3!I10),ParseTime(RunTime4!I10))/86400,"mm""m ""ss.00""s""") &amp; " ± " &amp; TEXT(_xlfn.STDEV.S(ParseTime(RunTime1!I10),ParseTime(RunTime2!I10),ParseTime(RunTime3!I10),ParseTime(RunTime4!I10))/86400,"mm""m ""ss.00""s""")</f>
        <v>00m 04.56s ± 00m 00.78s</v>
      </c>
      <c r="J10" t="str">
        <f>TEXT(AVERAGE(ParseTime(RunTime1!J10),ParseTime(RunTime2!J10),ParseTime(RunTime3!J10),ParseTime(RunTime4!J10))/86400,"mm""m ""ss.00""s""") &amp; " ± " &amp; TEXT(_xlfn.STDEV.S(ParseTime(RunTime1!J10),ParseTime(RunTime2!J10),ParseTime(RunTime3!J10),ParseTime(RunTime4!J10))/86400,"mm""m ""ss.00""s""")</f>
        <v>00m 05.23s ± 00m 01.78s</v>
      </c>
      <c r="K10" s="2">
        <f>AVERAGE(ParseTime(RunTime1!G10),ParseTime(RunTime2!G10),ParseTime(RunTime3!G10),ParseTime(RunTime4!G10))/AVERAGE(ParseTime(RunTime1!H10),ParseTime(RunTime2!H10),ParseTime(RunTime3!H10),ParseTime(RunTime4!H10))</f>
        <v>0.99195378584691551</v>
      </c>
      <c r="L10" s="2">
        <f>AVERAGE(ParseTime(RunTime1!F10),ParseTime(RunTime2!F10),ParseTime(RunTime3!F10),ParseTime(RunTime4!F10))
/
AVERAGE(ParseTime(RunTime1!G10),ParseTime(RunTime2!G10),ParseTime(RunTime3!G10),ParseTime(RunTime4!G10))</f>
        <v>3.0418053244592347</v>
      </c>
      <c r="M10" s="2">
        <f>AVERAGE(ParseTime(RunTime1!F10),ParseTime(RunTime2!F10),ParseTime(RunTime3!F10),ParseTime(RunTime4!F10))
/
AVERAGE(ParseTime(RunTime1!H10),ParseTime(RunTime2!H10),ParseTime(RunTime3!H10),ParseTime(RunTime4!H10))</f>
        <v>3.0173303074066431</v>
      </c>
      <c r="N10" s="2">
        <f>AVERAGE(ParseTime(RunTime1!I10),ParseTime(RunTime2!I10),ParseTime(RunTime3!I10),ParseTime(RunTime4!I10))/AVERAGE(ParseTime(RunTime1!J10),ParseTime(RunTime2!J10),ParseTime(RunTime3!J10),ParseTime(RunTime4!J10))</f>
        <v>0.8727524866105586</v>
      </c>
      <c r="O10" s="2">
        <f>AVERAGE(ParseTime(RunTime1!F10),ParseTime(RunTime2!F10),ParseTime(RunTime3!F10),ParseTime(RunTime4!F10))/AVERAGE(ParseTime(RunTime1!J10),ParseTime(RunTime2!J10),ParseTime(RunTime3!J10),ParseTime(RunTime4!J10))</f>
        <v>2.7974368783473604</v>
      </c>
      <c r="P10" s="2">
        <f>AVERAGE(ParseTime(RunTime1!F10),ParseTime(RunTime2!F10),ParseTime(RunTime3!F10),ParseTime(RunTime4!F10))/AVERAGE(ParseTime(RunTime1!I10),ParseTime(RunTime2!I10),ParseTime(RunTime3!I10),ParseTime(RunTime4!I10))</f>
        <v>3.2053038189688232</v>
      </c>
      <c r="Q10" s="2">
        <f>AVERAGE(ParseTime(RunTime1!H10),ParseTime(RunTime2!H10),ParseTime(RunTime3!H10),ParseTime(RunTime4!H10))/AVERAGE(ParseTime(RunTime1!J10),ParseTime(RunTime2!J10),ParseTime(RunTime3!J10),ParseTime(RunTime4!J10))</f>
        <v>0.92712318286151507</v>
      </c>
      <c r="R10" s="2">
        <f>AVERAGE(ParseTime(RunTime1!G10),ParseTime(RunTime2!G10),ParseTime(RunTime3!G10),ParseTime(RunTime4!G10))/AVERAGE(ParseTime(RunTime1!I10),ParseTime(RunTime2!I10),ParseTime(RunTime3!I10),ParseTime(RunTime4!I10))</f>
        <v>1.0537504794257848</v>
      </c>
      <c r="S10" s="2">
        <f>AVERAGE(ParseTime(RunTime1!H10),ParseTime(RunTime2!H10),ParseTime(RunTime3!H10),ParseTime(RunTime4!H10))/AVERAGE(ParseTime(RunTime1!I10),ParseTime(RunTime2!I10),ParseTime(RunTime3!I10),ParseTime(RunTime4!I10))</f>
        <v>1.0622979562763684</v>
      </c>
      <c r="T10" s="2">
        <f>AVERAGE(ParseTime(RunTime1!G10),ParseTime(RunTime2!G10),ParseTime(RunTime3!G10),ParseTime(RunTime4!G10))/AVERAGE(ParseTime(RunTime1!J10),ParseTime(RunTime2!J10),ParseTime(RunTime3!J10),ParseTime(RunTime4!J10))</f>
        <v>0.91966335118592202</v>
      </c>
      <c r="U10" t="s">
        <v>18</v>
      </c>
    </row>
    <row r="11" spans="1:21" x14ac:dyDescent="0.25">
      <c r="A11" t="s">
        <v>294</v>
      </c>
      <c r="B11" t="s">
        <v>63</v>
      </c>
      <c r="C11" t="s">
        <v>19</v>
      </c>
      <c r="D11" s="1">
        <v>251509</v>
      </c>
      <c r="E11">
        <v>2</v>
      </c>
      <c r="F11" t="str">
        <f>TEXT(AVERAGE(ParseTime(RunTime1!F11),ParseTime(RunTime2!F11),ParseTime(RunTime3!F11),ParseTime(RunTime4!F11))/86400,"mm""m ""ss.00""s""") &amp; " ± " &amp; TEXT(_xlfn.STDEV.S(ParseTime(RunTime1!F11),ParseTime(RunTime2!F11),ParseTime(RunTime3!F11),ParseTime(RunTime4!F11))/86400,"mm""m ""ss.00""s""")</f>
        <v>00m 14.01s ± 00m 00.71s</v>
      </c>
      <c r="G11" t="str">
        <f>TEXT(AVERAGE(ParseTime(RunTime1!G11),ParseTime(RunTime2!G11),ParseTime(RunTime3!G11),ParseTime(RunTime4!G11))/86400,"mm""m ""ss.00""s""") &amp; " ± " &amp; TEXT(_xlfn.STDEV.S(ParseTime(RunTime1!G11),ParseTime(RunTime2!G11),ParseTime(RunTime3!G11),ParseTime(RunTime4!G11))/86400,"mm""m ""ss.00""s""")</f>
        <v>00m 03.15s ± 00m 00.45s</v>
      </c>
      <c r="H11" t="str">
        <f>TEXT(AVERAGE(ParseTime(RunTime1!H11),ParseTime(RunTime2!H11),ParseTime(RunTime3!H11),ParseTime(RunTime4!H11))/86400,"mm""m ""ss.00""s""") &amp; " ± " &amp; TEXT(_xlfn.STDEV.S(ParseTime(RunTime1!H11),ParseTime(RunTime2!H11),ParseTime(RunTime3!H11),ParseTime(RunTime4!H11))/86400,"mm""m ""ss.00""s""")</f>
        <v>00m 04.29s ± 00m 01.09s</v>
      </c>
      <c r="I11" t="str">
        <f>TEXT(AVERAGE(ParseTime(RunTime1!I11),ParseTime(RunTime2!I11),ParseTime(RunTime3!I11),ParseTime(RunTime4!I11))/86400,"mm""m ""ss.00""s""") &amp; " ± " &amp; TEXT(_xlfn.STDEV.S(ParseTime(RunTime1!I11),ParseTime(RunTime2!I11),ParseTime(RunTime3!I11),ParseTime(RunTime4!I11))/86400,"mm""m ""ss.00""s""")</f>
        <v>00m 04.38s ± 00m 00.63s</v>
      </c>
      <c r="J11" t="str">
        <f>TEXT(AVERAGE(ParseTime(RunTime1!J11),ParseTime(RunTime2!J11),ParseTime(RunTime3!J11),ParseTime(RunTime4!J11))/86400,"mm""m ""ss.00""s""") &amp; " ± " &amp; TEXT(_xlfn.STDEV.S(ParseTime(RunTime1!J11),ParseTime(RunTime2!J11),ParseTime(RunTime3!J11),ParseTime(RunTime4!J11))/86400,"mm""m ""ss.00""s""")</f>
        <v>00m 04.85s ± 00m 00.86s</v>
      </c>
      <c r="K11" s="2">
        <f>AVERAGE(ParseTime(RunTime1!G11),ParseTime(RunTime2!G11),ParseTime(RunTime3!G11),ParseTime(RunTime4!G11))/AVERAGE(ParseTime(RunTime1!H11),ParseTime(RunTime2!H11),ParseTime(RunTime3!H11),ParseTime(RunTime4!H11))</f>
        <v>0.73492359734048751</v>
      </c>
      <c r="L11" s="2">
        <f>AVERAGE(ParseTime(RunTime1!F11),ParseTime(RunTime2!F11),ParseTime(RunTime3!F11),ParseTime(RunTime4!F11))
/
AVERAGE(ParseTime(RunTime1!G11),ParseTime(RunTime2!G11),ParseTime(RunTime3!G11),ParseTime(RunTime4!G11))</f>
        <v>4.4466312197444644</v>
      </c>
      <c r="M11" s="2">
        <f>AVERAGE(ParseTime(RunTime1!F11),ParseTime(RunTime2!F11),ParseTime(RunTime3!F11),ParseTime(RunTime4!F11))
/
AVERAGE(ParseTime(RunTime1!H11),ParseTime(RunTime2!H11),ParseTime(RunTime3!H11),ParseTime(RunTime4!H11))</f>
        <v>3.2679342120611219</v>
      </c>
      <c r="N11" s="2">
        <f>AVERAGE(ParseTime(RunTime1!I11),ParseTime(RunTime2!I11),ParseTime(RunTime3!I11),ParseTime(RunTime4!I11))/AVERAGE(ParseTime(RunTime1!J11),ParseTime(RunTime2!J11),ParseTime(RunTime3!J11),ParseTime(RunTime4!J11))</f>
        <v>0.90351375058046535</v>
      </c>
      <c r="O11" s="2">
        <f>AVERAGE(ParseTime(RunTime1!F11),ParseTime(RunTime2!F11),ParseTime(RunTime3!F11),ParseTime(RunTime4!F11))/AVERAGE(ParseTime(RunTime1!J11),ParseTime(RunTime2!J11),ParseTime(RunTime3!J11),ParseTime(RunTime4!J11))</f>
        <v>2.8910788916980548</v>
      </c>
      <c r="P11" s="2">
        <f>AVERAGE(ParseTime(RunTime1!F11),ParseTime(RunTime2!F11),ParseTime(RunTime3!F11),ParseTime(RunTime4!F11))/AVERAGE(ParseTime(RunTime1!I11),ParseTime(RunTime2!I11),ParseTime(RunTime3!I11),ParseTime(RunTime4!I11))</f>
        <v>3.1998172577237165</v>
      </c>
      <c r="Q11" s="2">
        <f>AVERAGE(ParseTime(RunTime1!H11),ParseTime(RunTime2!H11),ParseTime(RunTime3!H11),ParseTime(RunTime4!H11))/AVERAGE(ParseTime(RunTime1!J11),ParseTime(RunTime2!J11),ParseTime(RunTime3!J11),ParseTime(RunTime4!J11))</f>
        <v>0.88468087301996801</v>
      </c>
      <c r="R11" s="2">
        <f>AVERAGE(ParseTime(RunTime1!G11),ParseTime(RunTime2!G11),ParseTime(RunTime3!G11),ParseTime(RunTime4!G11))/AVERAGE(ParseTime(RunTime1!I11),ParseTime(RunTime2!I11),ParseTime(RunTime3!I11),ParseTime(RunTime4!I11))</f>
        <v>0.71960481982753699</v>
      </c>
      <c r="S11" s="2">
        <f>AVERAGE(ParseTime(RunTime1!H11),ParseTime(RunTime2!H11),ParseTime(RunTime3!H11),ParseTime(RunTime4!H11))/AVERAGE(ParseTime(RunTime1!I11),ParseTime(RunTime2!I11),ParseTime(RunTime3!I11),ParseTime(RunTime4!I11))</f>
        <v>0.97915595911141573</v>
      </c>
      <c r="T11" s="2">
        <f>AVERAGE(ParseTime(RunTime1!G11),ParseTime(RunTime2!G11),ParseTime(RunTime3!G11),ParseTime(RunTime4!G11))/AVERAGE(ParseTime(RunTime1!J11),ParseTime(RunTime2!J11),ParseTime(RunTime3!J11),ParseTime(RunTime4!J11))</f>
        <v>0.65017284969815792</v>
      </c>
      <c r="U11" t="s">
        <v>18</v>
      </c>
    </row>
    <row r="12" spans="1:21" x14ac:dyDescent="0.25">
      <c r="A12" t="s">
        <v>294</v>
      </c>
      <c r="B12" t="s">
        <v>76</v>
      </c>
      <c r="C12" t="s">
        <v>11</v>
      </c>
      <c r="D12" s="1">
        <v>259612</v>
      </c>
      <c r="E12">
        <v>2</v>
      </c>
      <c r="F12" t="str">
        <f>TEXT(AVERAGE(ParseTime(RunTime1!F12),ParseTime(RunTime2!F12),ParseTime(RunTime3!F12),ParseTime(RunTime4!F12))/86400,"mm""m ""ss.00""s""") &amp; " ± " &amp; TEXT(_xlfn.STDEV.S(ParseTime(RunTime1!F12),ParseTime(RunTime2!F12),ParseTime(RunTime3!F12),ParseTime(RunTime4!F12))/86400,"mm""m ""ss.00""s""")</f>
        <v>00m 08.16s ± 00m 00.89s</v>
      </c>
      <c r="G12" t="str">
        <f>TEXT(AVERAGE(ParseTime(RunTime1!G12),ParseTime(RunTime2!G12),ParseTime(RunTime3!G12),ParseTime(RunTime4!G12))/86400,"mm""m ""ss.00""s""") &amp; " ± " &amp; TEXT(_xlfn.STDEV.S(ParseTime(RunTime1!G12),ParseTime(RunTime2!G12),ParseTime(RunTime3!G12),ParseTime(RunTime4!G12))/86400,"mm""m ""ss.00""s""")</f>
        <v>00m 03.94s ± 00m 01.15s</v>
      </c>
      <c r="H12" t="str">
        <f>TEXT(AVERAGE(ParseTime(RunTime1!H12),ParseTime(RunTime2!H12),ParseTime(RunTime3!H12),ParseTime(RunTime4!H12))/86400,"mm""m ""ss.00""s""") &amp; " ± " &amp; TEXT(_xlfn.STDEV.S(ParseTime(RunTime1!H12),ParseTime(RunTime2!H12),ParseTime(RunTime3!H12),ParseTime(RunTime4!H12))/86400,"mm""m ""ss.00""s""")</f>
        <v>00m 04.52s ± 00m 01.41s</v>
      </c>
      <c r="I12" t="str">
        <f>TEXT(AVERAGE(ParseTime(RunTime1!I12),ParseTime(RunTime2!I12),ParseTime(RunTime3!I12),ParseTime(RunTime4!I12))/86400,"mm""m ""ss.00""s""") &amp; " ± " &amp; TEXT(_xlfn.STDEV.S(ParseTime(RunTime1!I12),ParseTime(RunTime2!I12),ParseTime(RunTime3!I12),ParseTime(RunTime4!I12))/86400,"mm""m ""ss.00""s""")</f>
        <v>00m 04.26s ± 00m 00.59s</v>
      </c>
      <c r="J12" t="str">
        <f>TEXT(AVERAGE(ParseTime(RunTime1!J12),ParseTime(RunTime2!J12),ParseTime(RunTime3!J12),ParseTime(RunTime4!J12))/86400,"mm""m ""ss.00""s""") &amp; " ± " &amp; TEXT(_xlfn.STDEV.S(ParseTime(RunTime1!J12),ParseTime(RunTime2!J12),ParseTime(RunTime3!J12),ParseTime(RunTime4!J12))/86400,"mm""m ""ss.00""s""")</f>
        <v>00m 04.34s ± 00m 00.14s</v>
      </c>
      <c r="K12" s="2">
        <f>AVERAGE(ParseTime(RunTime1!G12),ParseTime(RunTime2!G12),ParseTime(RunTime3!G12),ParseTime(RunTime4!G12))/AVERAGE(ParseTime(RunTime1!H12),ParseTime(RunTime2!H12),ParseTime(RunTime3!H12),ParseTime(RunTime4!H12))</f>
        <v>0.87113373540640726</v>
      </c>
      <c r="L12" s="2">
        <f>AVERAGE(ParseTime(RunTime1!F12),ParseTime(RunTime2!F12),ParseTime(RunTime3!F12),ParseTime(RunTime4!F12))
/
AVERAGE(ParseTime(RunTime1!G12),ParseTime(RunTime2!G12),ParseTime(RunTime3!G12),ParseTime(RunTime4!G12))</f>
        <v>2.0737423780487805</v>
      </c>
      <c r="M12" s="2">
        <f>AVERAGE(ParseTime(RunTime1!F12),ParseTime(RunTime2!F12),ParseTime(RunTime3!F12),ParseTime(RunTime4!F12))
/
AVERAGE(ParseTime(RunTime1!H12),ParseTime(RunTime2!H12),ParseTime(RunTime3!H12),ParseTime(RunTime4!H12))</f>
        <v>1.8065069440602004</v>
      </c>
      <c r="N12" s="2">
        <f>AVERAGE(ParseTime(RunTime1!I12),ParseTime(RunTime2!I12),ParseTime(RunTime3!I12),ParseTime(RunTime4!I12))/AVERAGE(ParseTime(RunTime1!J12),ParseTime(RunTime2!J12),ParseTime(RunTime3!J12),ParseTime(RunTime4!J12))</f>
        <v>0.98069942962493517</v>
      </c>
      <c r="O12" s="2">
        <f>AVERAGE(ParseTime(RunTime1!F12),ParseTime(RunTime2!F12),ParseTime(RunTime3!F12),ParseTime(RunTime4!F12))/AVERAGE(ParseTime(RunTime1!J12),ParseTime(RunTime2!J12),ParseTime(RunTime3!J12),ParseTime(RunTime4!J12))</f>
        <v>1.881027827389526</v>
      </c>
      <c r="P12" s="2">
        <f>AVERAGE(ParseTime(RunTime1!F12),ParseTime(RunTime2!F12),ParseTime(RunTime3!F12),ParseTime(RunTime4!F12))/AVERAGE(ParseTime(RunTime1!I12),ParseTime(RunTime2!I12),ParseTime(RunTime3!I12),ParseTime(RunTime4!I12))</f>
        <v>1.9180472329925979</v>
      </c>
      <c r="Q12" s="2">
        <f>AVERAGE(ParseTime(RunTime1!H12),ParseTime(RunTime2!H12),ParseTime(RunTime3!H12),ParseTime(RunTime4!H12))/AVERAGE(ParseTime(RunTime1!J12),ParseTime(RunTime2!J12),ParseTime(RunTime3!J12),ParseTime(RunTime4!J12))</f>
        <v>1.0412513683240192</v>
      </c>
      <c r="R12" s="2">
        <f>AVERAGE(ParseTime(RunTime1!G12),ParseTime(RunTime2!G12),ParseTime(RunTime3!G12),ParseTime(RunTime4!G12))/AVERAGE(ParseTime(RunTime1!I12),ParseTime(RunTime2!I12),ParseTime(RunTime3!I12),ParseTime(RunTime4!I12))</f>
        <v>0.92492069087063811</v>
      </c>
      <c r="S12" s="2">
        <f>AVERAGE(ParseTime(RunTime1!H12),ParseTime(RunTime2!H12),ParseTime(RunTime3!H12),ParseTime(RunTime4!H12))/AVERAGE(ParseTime(RunTime1!I12),ParseTime(RunTime2!I12),ParseTime(RunTime3!I12),ParseTime(RunTime4!I12))</f>
        <v>1.0617436258958994</v>
      </c>
      <c r="T12" s="2">
        <f>AVERAGE(ParseTime(RunTime1!G12),ParseTime(RunTime2!G12),ParseTime(RunTime3!G12),ParseTime(RunTime4!G12))/AVERAGE(ParseTime(RunTime1!J12),ParseTime(RunTime2!J12),ParseTime(RunTime3!J12),ParseTime(RunTime4!J12))</f>
        <v>0.90706919398513575</v>
      </c>
      <c r="U12" t="s">
        <v>18</v>
      </c>
    </row>
    <row r="13" spans="1:21" x14ac:dyDescent="0.25">
      <c r="A13" t="s">
        <v>294</v>
      </c>
      <c r="B13" t="s">
        <v>76</v>
      </c>
      <c r="C13" t="s">
        <v>19</v>
      </c>
      <c r="D13" s="1">
        <v>265657</v>
      </c>
      <c r="E13">
        <v>2</v>
      </c>
      <c r="F13" t="str">
        <f>TEXT(AVERAGE(ParseTime(RunTime1!F13),ParseTime(RunTime2!F13),ParseTime(RunTime3!F13),ParseTime(RunTime4!F13))/86400,"mm""m ""ss.00""s""") &amp; " ± " &amp; TEXT(_xlfn.STDEV.S(ParseTime(RunTime1!F13),ParseTime(RunTime2!F13),ParseTime(RunTime3!F13),ParseTime(RunTime4!F13))/86400,"mm""m ""ss.00""s""")</f>
        <v>00m 08.42s ± 00m 00.94s</v>
      </c>
      <c r="G13" t="str">
        <f>TEXT(AVERAGE(ParseTime(RunTime1!G13),ParseTime(RunTime2!G13),ParseTime(RunTime3!G13),ParseTime(RunTime4!G13))/86400,"mm""m ""ss.00""s""") &amp; " ± " &amp; TEXT(_xlfn.STDEV.S(ParseTime(RunTime1!G13),ParseTime(RunTime2!G13),ParseTime(RunTime3!G13),ParseTime(RunTime4!G13))/86400,"mm""m ""ss.00""s""")</f>
        <v>00m 02.92s ± 00m 00.27s</v>
      </c>
      <c r="H13" t="str">
        <f>TEXT(AVERAGE(ParseTime(RunTime1!H13),ParseTime(RunTime2!H13),ParseTime(RunTime3!H13),ParseTime(RunTime4!H13))/86400,"mm""m ""ss.00""s""") &amp; " ± " &amp; TEXT(_xlfn.STDEV.S(ParseTime(RunTime1!H13),ParseTime(RunTime2!H13),ParseTime(RunTime3!H13),ParseTime(RunTime4!H13))/86400,"mm""m ""ss.00""s""")</f>
        <v>00m 04.90s ± 00m 01.05s</v>
      </c>
      <c r="I13" t="str">
        <f>TEXT(AVERAGE(ParseTime(RunTime1!I13),ParseTime(RunTime2!I13),ParseTime(RunTime3!I13),ParseTime(RunTime4!I13))/86400,"mm""m ""ss.00""s""") &amp; " ± " &amp; TEXT(_xlfn.STDEV.S(ParseTime(RunTime1!I13),ParseTime(RunTime2!I13),ParseTime(RunTime3!I13),ParseTime(RunTime4!I13))/86400,"mm""m ""ss.00""s""")</f>
        <v>00m 04.00s ± 00m 00.12s</v>
      </c>
      <c r="J13" t="str">
        <f>TEXT(AVERAGE(ParseTime(RunTime1!J13),ParseTime(RunTime2!J13),ParseTime(RunTime3!J13),ParseTime(RunTime4!J13))/86400,"mm""m ""ss.00""s""") &amp; " ± " &amp; TEXT(_xlfn.STDEV.S(ParseTime(RunTime1!J13),ParseTime(RunTime2!J13),ParseTime(RunTime3!J13),ParseTime(RunTime4!J13))/86400,"mm""m ""ss.00""s""")</f>
        <v>00m 05.51s ± 00m 00.96s</v>
      </c>
      <c r="K13" s="2">
        <f>AVERAGE(ParseTime(RunTime1!G13),ParseTime(RunTime2!G13),ParseTime(RunTime3!G13),ParseTime(RunTime4!G13))/AVERAGE(ParseTime(RunTime1!H13),ParseTime(RunTime2!H13),ParseTime(RunTime3!H13),ParseTime(RunTime4!H13))</f>
        <v>0.59709035222052087</v>
      </c>
      <c r="L13" s="2">
        <f>AVERAGE(ParseTime(RunTime1!F13),ParseTime(RunTime2!F13),ParseTime(RunTime3!F13),ParseTime(RunTime4!F13))
/
AVERAGE(ParseTime(RunTime1!G13),ParseTime(RunTime2!G13),ParseTime(RunTime3!G13),ParseTime(RunTime4!G13))</f>
        <v>2.878259382747713</v>
      </c>
      <c r="M13" s="2">
        <f>AVERAGE(ParseTime(RunTime1!F13),ParseTime(RunTime2!F13),ParseTime(RunTime3!F13),ParseTime(RunTime4!F13))
/
AVERAGE(ParseTime(RunTime1!H13),ParseTime(RunTime2!H13),ParseTime(RunTime3!H13),ParseTime(RunTime4!H13))</f>
        <v>1.7185809086268509</v>
      </c>
      <c r="N13" s="2">
        <f>AVERAGE(ParseTime(RunTime1!I13),ParseTime(RunTime2!I13),ParseTime(RunTime3!I13),ParseTime(RunTime4!I13))/AVERAGE(ParseTime(RunTime1!J13),ParseTime(RunTime2!J13),ParseTime(RunTime3!J13),ParseTime(RunTime4!J13))</f>
        <v>0.72687644735049717</v>
      </c>
      <c r="O13" s="2">
        <f>AVERAGE(ParseTime(RunTime1!F13),ParseTime(RunTime2!F13),ParseTime(RunTime3!F13),ParseTime(RunTime4!F13))/AVERAGE(ParseTime(RunTime1!J13),ParseTime(RunTime2!J13),ParseTime(RunTime3!J13),ParseTime(RunTime4!J13))</f>
        <v>1.5287199745720383</v>
      </c>
      <c r="P13" s="2">
        <f>AVERAGE(ParseTime(RunTime1!F13),ParseTime(RunTime2!F13),ParseTime(RunTime3!F13),ParseTime(RunTime4!F13))/AVERAGE(ParseTime(RunTime1!I13),ParseTime(RunTime2!I13),ParseTime(RunTime3!I13),ParseTime(RunTime4!I13))</f>
        <v>2.1031359320339833</v>
      </c>
      <c r="Q13" s="2">
        <f>AVERAGE(ParseTime(RunTime1!H13),ParseTime(RunTime2!H13),ParseTime(RunTime3!H13),ParseTime(RunTime4!H13))/AVERAGE(ParseTime(RunTime1!J13),ParseTime(RunTime2!J13),ParseTime(RunTime3!J13),ParseTime(RunTime4!J13))</f>
        <v>0.88952458793079947</v>
      </c>
      <c r="R13" s="2">
        <f>AVERAGE(ParseTime(RunTime1!G13),ParseTime(RunTime2!G13),ParseTime(RunTime3!G13),ParseTime(RunTime4!G13))/AVERAGE(ParseTime(RunTime1!I13),ParseTime(RunTime2!I13),ParseTime(RunTime3!I13),ParseTime(RunTime4!I13))</f>
        <v>0.73069715142428793</v>
      </c>
      <c r="S13" s="2">
        <f>AVERAGE(ParseTime(RunTime1!H13),ParseTime(RunTime2!H13),ParseTime(RunTime3!H13),ParseTime(RunTime4!H13))/AVERAGE(ParseTime(RunTime1!I13),ParseTime(RunTime2!I13),ParseTime(RunTime3!I13),ParseTime(RunTime4!I13))</f>
        <v>1.2237631184407793</v>
      </c>
      <c r="T13" s="2">
        <f>AVERAGE(ParseTime(RunTime1!G13),ParseTime(RunTime2!G13),ParseTime(RunTime3!G13),ParseTime(RunTime4!G13))/AVERAGE(ParseTime(RunTime1!J13),ParseTime(RunTime2!J13),ParseTime(RunTime3!J13),ParseTime(RunTime4!J13))</f>
        <v>0.53112654951641469</v>
      </c>
      <c r="U13" t="s">
        <v>18</v>
      </c>
    </row>
    <row r="14" spans="1:21" x14ac:dyDescent="0.25">
      <c r="A14" t="s">
        <v>294</v>
      </c>
      <c r="B14" t="s">
        <v>89</v>
      </c>
      <c r="C14" t="s">
        <v>11</v>
      </c>
      <c r="D14" s="1">
        <v>235305</v>
      </c>
      <c r="E14">
        <v>2</v>
      </c>
      <c r="F14" t="str">
        <f>TEXT(AVERAGE(ParseTime(RunTime1!F14),ParseTime(RunTime2!F14),ParseTime(RunTime3!F14),ParseTime(RunTime4!F14))/86400,"mm""m ""ss.00""s""") &amp; " ± " &amp; TEXT(_xlfn.STDEV.S(ParseTime(RunTime1!F14),ParseTime(RunTime2!F14),ParseTime(RunTime3!F14),ParseTime(RunTime4!F14))/86400,"mm""m ""ss.00""s""")</f>
        <v>00m 09.21s ± 00m 00.87s</v>
      </c>
      <c r="G14" t="str">
        <f>TEXT(AVERAGE(ParseTime(RunTime1!G14),ParseTime(RunTime2!G14),ParseTime(RunTime3!G14),ParseTime(RunTime4!G14))/86400,"mm""m ""ss.00""s""") &amp; " ± " &amp; TEXT(_xlfn.STDEV.S(ParseTime(RunTime1!G14),ParseTime(RunTime2!G14),ParseTime(RunTime3!G14),ParseTime(RunTime4!G14))/86400,"mm""m ""ss.00""s""")</f>
        <v>00m 03.07s ± 00m 00.41s</v>
      </c>
      <c r="H14" t="str">
        <f>TEXT(AVERAGE(ParseTime(RunTime1!H14),ParseTime(RunTime2!H14),ParseTime(RunTime3!H14),ParseTime(RunTime4!H14))/86400,"mm""m ""ss.00""s""") &amp; " ± " &amp; TEXT(_xlfn.STDEV.S(ParseTime(RunTime1!H14),ParseTime(RunTime2!H14),ParseTime(RunTime3!H14),ParseTime(RunTime4!H14))/86400,"mm""m ""ss.00""s""")</f>
        <v>00m 03.87s ± 00m 01.25s</v>
      </c>
      <c r="I14" t="str">
        <f>TEXT(AVERAGE(ParseTime(RunTime1!I14),ParseTime(RunTime2!I14),ParseTime(RunTime3!I14),ParseTime(RunTime4!I14))/86400,"mm""m ""ss.00""s""") &amp; " ± " &amp; TEXT(_xlfn.STDEV.S(ParseTime(RunTime1!I14),ParseTime(RunTime2!I14),ParseTime(RunTime3!I14),ParseTime(RunTime4!I14))/86400,"mm""m ""ss.00""s""")</f>
        <v>00m 03.92s ± 00m 00.11s</v>
      </c>
      <c r="J14" t="str">
        <f>TEXT(AVERAGE(ParseTime(RunTime1!J14),ParseTime(RunTime2!J14),ParseTime(RunTime3!J14),ParseTime(RunTime4!J14))/86400,"mm""m ""ss.00""s""") &amp; " ± " &amp; TEXT(_xlfn.STDEV.S(ParseTime(RunTime1!J14),ParseTime(RunTime2!J14),ParseTime(RunTime3!J14),ParseTime(RunTime4!J14))/86400,"mm""m ""ss.00""s""")</f>
        <v>00m 05.57s ± 00m 00.20s</v>
      </c>
      <c r="K14" s="2">
        <f>AVERAGE(ParseTime(RunTime1!G14),ParseTime(RunTime2!G14),ParseTime(RunTime3!G14),ParseTime(RunTime4!G14))/AVERAGE(ParseTime(RunTime1!H14),ParseTime(RunTime2!H14),ParseTime(RunTime3!H14),ParseTime(RunTime4!H14))</f>
        <v>0.79333935717051751</v>
      </c>
      <c r="L14" s="2">
        <f>AVERAGE(ParseTime(RunTime1!F14),ParseTime(RunTime2!F14),ParseTime(RunTime3!F14),ParseTime(RunTime4!F14))
/
AVERAGE(ParseTime(RunTime1!G14),ParseTime(RunTime2!G14),ParseTime(RunTime3!G14),ParseTime(RunTime4!G14))</f>
        <v>2.9956882525219655</v>
      </c>
      <c r="M14" s="2">
        <f>AVERAGE(ParseTime(RunTime1!F14),ParseTime(RunTime2!F14),ParseTime(RunTime3!F14),ParseTime(RunTime4!F14))
/
AVERAGE(ParseTime(RunTime1!H14),ParseTime(RunTime2!H14),ParseTime(RunTime3!H14),ParseTime(RunTime4!H14))</f>
        <v>2.3765973925390473</v>
      </c>
      <c r="N14" s="2">
        <f>AVERAGE(ParseTime(RunTime1!I14),ParseTime(RunTime2!I14),ParseTime(RunTime3!I14),ParseTime(RunTime4!I14))/AVERAGE(ParseTime(RunTime1!J14),ParseTime(RunTime2!J14),ParseTime(RunTime3!J14),ParseTime(RunTime4!J14))</f>
        <v>0.70391161808954938</v>
      </c>
      <c r="O14" s="2">
        <f>AVERAGE(ParseTime(RunTime1!F14),ParseTime(RunTime2!F14),ParseTime(RunTime3!F14),ParseTime(RunTime4!F14))/AVERAGE(ParseTime(RunTime1!J14),ParseTime(RunTime2!J14),ParseTime(RunTime3!J14),ParseTime(RunTime4!J14))</f>
        <v>1.6537027888804057</v>
      </c>
      <c r="P14" s="2">
        <f>AVERAGE(ParseTime(RunTime1!F14),ParseTime(RunTime2!F14),ParseTime(RunTime3!F14),ParseTime(RunTime4!F14))/AVERAGE(ParseTime(RunTime1!I14),ParseTime(RunTime2!I14),ParseTime(RunTime3!I14),ParseTime(RunTime4!I14))</f>
        <v>2.3493045808345032</v>
      </c>
      <c r="Q14" s="2">
        <f>AVERAGE(ParseTime(RunTime1!H14),ParseTime(RunTime2!H14),ParseTime(RunTime3!H14),ParseTime(RunTime4!H14))/AVERAGE(ParseTime(RunTime1!J14),ParseTime(RunTime2!J14),ParseTime(RunTime3!J14),ParseTime(RunTime4!J14))</f>
        <v>0.69582790676786277</v>
      </c>
      <c r="R14" s="2">
        <f>AVERAGE(ParseTime(RunTime1!G14),ParseTime(RunTime2!G14),ParseTime(RunTime3!G14),ParseTime(RunTime4!G14))/AVERAGE(ParseTime(RunTime1!I14),ParseTime(RunTime2!I14),ParseTime(RunTime3!I14),ParseTime(RunTime4!I14))</f>
        <v>0.78422865892560933</v>
      </c>
      <c r="S14" s="2">
        <f>AVERAGE(ParseTime(RunTime1!H14),ParseTime(RunTime2!H14),ParseTime(RunTime3!H14),ParseTime(RunTime4!H14))/AVERAGE(ParseTime(RunTime1!I14),ParseTime(RunTime2!I14),ParseTime(RunTime3!I14),ParseTime(RunTime4!I14))</f>
        <v>0.98851601378078358</v>
      </c>
      <c r="T14" s="2">
        <f>AVERAGE(ParseTime(RunTime1!G14),ParseTime(RunTime2!G14),ParseTime(RunTime3!G14),ParseTime(RunTime4!G14))/AVERAGE(ParseTime(RunTime1!J14),ParseTime(RunTime2!J14),ParseTime(RunTime3!J14),ParseTime(RunTime4!J14))</f>
        <v>0.55202766425652305</v>
      </c>
      <c r="U14" t="s">
        <v>18</v>
      </c>
    </row>
    <row r="15" spans="1:21" x14ac:dyDescent="0.25">
      <c r="A15" t="s">
        <v>294</v>
      </c>
      <c r="B15" t="s">
        <v>89</v>
      </c>
      <c r="C15" t="s">
        <v>19</v>
      </c>
      <c r="D15" s="1">
        <v>233608</v>
      </c>
      <c r="E15">
        <v>2</v>
      </c>
      <c r="F15" t="str">
        <f>TEXT(AVERAGE(ParseTime(RunTime1!F15),ParseTime(RunTime2!F15),ParseTime(RunTime3!F15),ParseTime(RunTime4!F15))/86400,"mm""m ""ss.00""s""") &amp; " ± " &amp; TEXT(_xlfn.STDEV.S(ParseTime(RunTime1!F15),ParseTime(RunTime2!F15),ParseTime(RunTime3!F15),ParseTime(RunTime4!F15))/86400,"mm""m ""ss.00""s""")</f>
        <v>00m 08.51s ± 00m 00.91s</v>
      </c>
      <c r="G15" t="str">
        <f>TEXT(AVERAGE(ParseTime(RunTime1!G15),ParseTime(RunTime2!G15),ParseTime(RunTime3!G15),ParseTime(RunTime4!G15))/86400,"mm""m ""ss.00""s""") &amp; " ± " &amp; TEXT(_xlfn.STDEV.S(ParseTime(RunTime1!G15),ParseTime(RunTime2!G15),ParseTime(RunTime3!G15),ParseTime(RunTime4!G15))/86400,"mm""m ""ss.00""s""")</f>
        <v>00m 02.57s ± 00m 00.03s</v>
      </c>
      <c r="H15" t="str">
        <f>TEXT(AVERAGE(ParseTime(RunTime1!H15),ParseTime(RunTime2!H15),ParseTime(RunTime3!H15),ParseTime(RunTime4!H15))/86400,"mm""m ""ss.00""s""") &amp; " ± " &amp; TEXT(_xlfn.STDEV.S(ParseTime(RunTime1!H15),ParseTime(RunTime2!H15),ParseTime(RunTime3!H15),ParseTime(RunTime4!H15))/86400,"mm""m ""ss.00""s""")</f>
        <v>00m 04.69s ± 00m 01.82s</v>
      </c>
      <c r="I15" t="str">
        <f>TEXT(AVERAGE(ParseTime(RunTime1!I15),ParseTime(RunTime2!I15),ParseTime(RunTime3!I15),ParseTime(RunTime4!I15))/86400,"mm""m ""ss.00""s""") &amp; " ± " &amp; TEXT(_xlfn.STDEV.S(ParseTime(RunTime1!I15),ParseTime(RunTime2!I15),ParseTime(RunTime3!I15),ParseTime(RunTime4!I15))/86400,"mm""m ""ss.00""s""")</f>
        <v>00m 04.19s ± 00m 00.48s</v>
      </c>
      <c r="J15" t="str">
        <f>TEXT(AVERAGE(ParseTime(RunTime1!J15),ParseTime(RunTime2!J15),ParseTime(RunTime3!J15),ParseTime(RunTime4!J15))/86400,"mm""m ""ss.00""s""") &amp; " ± " &amp; TEXT(_xlfn.STDEV.S(ParseTime(RunTime1!J15),ParseTime(RunTime2!J15),ParseTime(RunTime3!J15),ParseTime(RunTime4!J15))/86400,"mm""m ""ss.00""s""")</f>
        <v>00m 04.99s ± 00m 00.65s</v>
      </c>
      <c r="K15" s="2">
        <f>AVERAGE(ParseTime(RunTime1!G15),ParseTime(RunTime2!G15),ParseTime(RunTime3!G15),ParseTime(RunTime4!G15))/AVERAGE(ParseTime(RunTime1!H15),ParseTime(RunTime2!H15),ParseTime(RunTime3!H15),ParseTime(RunTime4!H15))</f>
        <v>0.54772957686356116</v>
      </c>
      <c r="L15" s="2">
        <f>AVERAGE(ParseTime(RunTime1!F15),ParseTime(RunTime2!F15),ParseTime(RunTime3!F15),ParseTime(RunTime4!F15))
/
AVERAGE(ParseTime(RunTime1!G15),ParseTime(RunTime2!G15),ParseTime(RunTime3!G15),ParseTime(RunTime4!G15))</f>
        <v>3.3161227471992203</v>
      </c>
      <c r="M15" s="2">
        <f>AVERAGE(ParseTime(RunTime1!F15),ParseTime(RunTime2!F15),ParseTime(RunTime3!F15),ParseTime(RunTime4!F15))
/
AVERAGE(ParseTime(RunTime1!H15),ParseTime(RunTime2!H15),ParseTime(RunTime3!H15),ParseTime(RunTime4!H15))</f>
        <v>1.8163385091510591</v>
      </c>
      <c r="N15" s="2">
        <f>AVERAGE(ParseTime(RunTime1!I15),ParseTime(RunTime2!I15),ParseTime(RunTime3!I15),ParseTime(RunTime4!I15))/AVERAGE(ParseTime(RunTime1!J15),ParseTime(RunTime2!J15),ParseTime(RunTime3!J15),ParseTime(RunTime4!J15))</f>
        <v>0.83952905811623235</v>
      </c>
      <c r="O15" s="2">
        <f>AVERAGE(ParseTime(RunTime1!F15),ParseTime(RunTime2!F15),ParseTime(RunTime3!F15),ParseTime(RunTime4!F15))/AVERAGE(ParseTime(RunTime1!J15),ParseTime(RunTime2!J15),ParseTime(RunTime3!J15),ParseTime(RunTime4!J15))</f>
        <v>1.7054108216432864</v>
      </c>
      <c r="P15" s="2">
        <f>AVERAGE(ParseTime(RunTime1!F15),ParseTime(RunTime2!F15),ParseTime(RunTime3!F15),ParseTime(RunTime4!F15))/AVERAGE(ParseTime(RunTime1!I15),ParseTime(RunTime2!I15),ParseTime(RunTime3!I15),ParseTime(RunTime4!I15))</f>
        <v>2.0313898669212866</v>
      </c>
      <c r="Q15" s="2">
        <f>AVERAGE(ParseTime(RunTime1!H15),ParseTime(RunTime2!H15),ParseTime(RunTime3!H15),ParseTime(RunTime4!H15))/AVERAGE(ParseTime(RunTime1!J15),ParseTime(RunTime2!J15),ParseTime(RunTime3!J15),ParseTime(RunTime4!J15))</f>
        <v>0.93892785571142279</v>
      </c>
      <c r="R15" s="2">
        <f>AVERAGE(ParseTime(RunTime1!G15),ParseTime(RunTime2!G15),ParseTime(RunTime3!G15),ParseTime(RunTime4!G15))/AVERAGE(ParseTime(RunTime1!I15),ParseTime(RunTime2!I15),ParseTime(RunTime3!I15),ParseTime(RunTime4!I15))</f>
        <v>0.61257981738974765</v>
      </c>
      <c r="S15" s="2">
        <f>AVERAGE(ParseTime(RunTime1!H15),ParseTime(RunTime2!H15),ParseTime(RunTime3!H15),ParseTime(RunTime4!H15))/AVERAGE(ParseTime(RunTime1!I15),ParseTime(RunTime2!I15),ParseTime(RunTime3!I15),ParseTime(RunTime4!I15))</f>
        <v>1.1183982813152713</v>
      </c>
      <c r="T15" s="2">
        <f>AVERAGE(ParseTime(RunTime1!G15),ParseTime(RunTime2!G15),ParseTime(RunTime3!G15),ParseTime(RunTime4!G15))/AVERAGE(ParseTime(RunTime1!J15),ParseTime(RunTime2!J15),ParseTime(RunTime3!J15),ParseTime(RunTime4!J15))</f>
        <v>0.51427855711422843</v>
      </c>
      <c r="U15" t="s">
        <v>18</v>
      </c>
    </row>
    <row r="16" spans="1:21" x14ac:dyDescent="0.25">
      <c r="A16" t="s">
        <v>294</v>
      </c>
      <c r="B16" t="s">
        <v>101</v>
      </c>
      <c r="C16" t="s">
        <v>11</v>
      </c>
      <c r="D16" s="1">
        <v>222180</v>
      </c>
      <c r="E16">
        <v>2</v>
      </c>
      <c r="F16" t="str">
        <f>TEXT(AVERAGE(ParseTime(RunTime1!F16),ParseTime(RunTime2!F16),ParseTime(RunTime3!F16),ParseTime(RunTime4!F16))/86400,"mm""m ""ss.00""s""") &amp; " ± " &amp; TEXT(_xlfn.STDEV.S(ParseTime(RunTime1!F16),ParseTime(RunTime2!F16),ParseTime(RunTime3!F16),ParseTime(RunTime4!F16))/86400,"mm""m ""ss.00""s""")</f>
        <v>00m 07.02s ± 00m 00.78s</v>
      </c>
      <c r="G16" t="str">
        <f>TEXT(AVERAGE(ParseTime(RunTime1!G16),ParseTime(RunTime2!G16),ParseTime(RunTime3!G16),ParseTime(RunTime4!G16))/86400,"mm""m ""ss.00""s""") &amp; " ± " &amp; TEXT(_xlfn.STDEV.S(ParseTime(RunTime1!G16),ParseTime(RunTime2!G16),ParseTime(RunTime3!G16),ParseTime(RunTime4!G16))/86400,"mm""m ""ss.00""s""")</f>
        <v>00m 03.28s ± 00m 00.96s</v>
      </c>
      <c r="H16" t="str">
        <f>TEXT(AVERAGE(ParseTime(RunTime1!H16),ParseTime(RunTime2!H16),ParseTime(RunTime3!H16),ParseTime(RunTime4!H16))/86400,"mm""m ""ss.00""s""") &amp; " ± " &amp; TEXT(_xlfn.STDEV.S(ParseTime(RunTime1!H16),ParseTime(RunTime2!H16),ParseTime(RunTime3!H16),ParseTime(RunTime4!H16))/86400,"mm""m ""ss.00""s""")</f>
        <v>00m 04.30s ± 00m 01.50s</v>
      </c>
      <c r="I16" t="str">
        <f>TEXT(AVERAGE(ParseTime(RunTime1!I16),ParseTime(RunTime2!I16),ParseTime(RunTime3!I16),ParseTime(RunTime4!I16))/86400,"mm""m ""ss.00""s""") &amp; " ± " &amp; TEXT(_xlfn.STDEV.S(ParseTime(RunTime1!I16),ParseTime(RunTime2!I16),ParseTime(RunTime3!I16),ParseTime(RunTime4!I16))/86400,"mm""m ""ss.00""s""")</f>
        <v>00m 04.08s ± 00m 00.53s</v>
      </c>
      <c r="J16" t="str">
        <f>TEXT(AVERAGE(ParseTime(RunTime1!J16),ParseTime(RunTime2!J16),ParseTime(RunTime3!J16),ParseTime(RunTime4!J16))/86400,"mm""m ""ss.00""s""") &amp; " ± " &amp; TEXT(_xlfn.STDEV.S(ParseTime(RunTime1!J16),ParseTime(RunTime2!J16),ParseTime(RunTime3!J16),ParseTime(RunTime4!J16))/86400,"mm""m ""ss.00""s""")</f>
        <v>00m 04.32s ± 00m 00.65s</v>
      </c>
      <c r="K16" s="2">
        <f>AVERAGE(ParseTime(RunTime1!G16),ParseTime(RunTime2!G16),ParseTime(RunTime3!G16),ParseTime(RunTime4!G16))/AVERAGE(ParseTime(RunTime1!H16),ParseTime(RunTime2!H16),ParseTime(RunTime3!H16),ParseTime(RunTime4!H16))</f>
        <v>0.76290097629009768</v>
      </c>
      <c r="L16" s="2">
        <f>AVERAGE(ParseTime(RunTime1!F16),ParseTime(RunTime2!F16),ParseTime(RunTime3!F16),ParseTime(RunTime4!F16))
/
AVERAGE(ParseTime(RunTime1!G16),ParseTime(RunTime2!G16),ParseTime(RunTime3!G16),ParseTime(RunTime4!G16))</f>
        <v>2.1397775746496039</v>
      </c>
      <c r="M16" s="2">
        <f>AVERAGE(ParseTime(RunTime1!F16),ParseTime(RunTime2!F16),ParseTime(RunTime3!F16),ParseTime(RunTime4!F16))
/
AVERAGE(ParseTime(RunTime1!H16),ParseTime(RunTime2!H16),ParseTime(RunTime3!H16),ParseTime(RunTime4!H16))</f>
        <v>1.6324384007438404</v>
      </c>
      <c r="N16" s="2">
        <f>AVERAGE(ParseTime(RunTime1!I16),ParseTime(RunTime2!I16),ParseTime(RunTime3!I16),ParseTime(RunTime4!I16))/AVERAGE(ParseTime(RunTime1!J16),ParseTime(RunTime2!J16),ParseTime(RunTime3!J16),ParseTime(RunTime4!J16))</f>
        <v>0.94288026825461069</v>
      </c>
      <c r="O16" s="2">
        <f>AVERAGE(ParseTime(RunTime1!F16),ParseTime(RunTime2!F16),ParseTime(RunTime3!F16),ParseTime(RunTime4!F16))/AVERAGE(ParseTime(RunTime1!J16),ParseTime(RunTime2!J16),ParseTime(RunTime3!J16),ParseTime(RunTime4!J16))</f>
        <v>1.6240388506677459</v>
      </c>
      <c r="P16" s="2">
        <f>AVERAGE(ParseTime(RunTime1!F16),ParseTime(RunTime2!F16),ParseTime(RunTime3!F16),ParseTime(RunTime4!F16))/AVERAGE(ParseTime(RunTime1!I16),ParseTime(RunTime2!I16),ParseTime(RunTime3!I16),ParseTime(RunTime4!I16))</f>
        <v>1.7224232019130541</v>
      </c>
      <c r="Q16" s="2">
        <f>AVERAGE(ParseTime(RunTime1!H16),ParseTime(RunTime2!H16),ParseTime(RunTime3!H16),ParseTime(RunTime4!H16))/AVERAGE(ParseTime(RunTime1!J16),ParseTime(RunTime2!J16),ParseTime(RunTime3!J16),ParseTime(RunTime4!J16))</f>
        <v>0.99485459906342133</v>
      </c>
      <c r="R16" s="2">
        <f>AVERAGE(ParseTime(RunTime1!G16),ParseTime(RunTime2!G16),ParseTime(RunTime3!G16),ParseTime(RunTime4!G16))/AVERAGE(ParseTime(RunTime1!I16),ParseTime(RunTime2!I16),ParseTime(RunTime3!I16),ParseTime(RunTime4!I16))</f>
        <v>0.80495431970077869</v>
      </c>
      <c r="S16" s="2">
        <f>AVERAGE(ParseTime(RunTime1!H16),ParseTime(RunTime2!H16),ParseTime(RunTime3!H16),ParseTime(RunTime4!H16))/AVERAGE(ParseTime(RunTime1!I16),ParseTime(RunTime2!I16),ParseTime(RunTime3!I16),ParseTime(RunTime4!I16))</f>
        <v>1.0551229382549512</v>
      </c>
      <c r="T16" s="2">
        <f>AVERAGE(ParseTime(RunTime1!G16),ParseTime(RunTime2!G16),ParseTime(RunTime3!G16),ParseTime(RunTime4!G16))/AVERAGE(ParseTime(RunTime1!J16),ParseTime(RunTime2!J16),ParseTime(RunTime3!J16),ParseTime(RunTime4!J16))</f>
        <v>0.75897554489217778</v>
      </c>
      <c r="U16" t="s">
        <v>18</v>
      </c>
    </row>
    <row r="17" spans="1:21" x14ac:dyDescent="0.25">
      <c r="A17" t="s">
        <v>294</v>
      </c>
      <c r="B17" t="s">
        <v>101</v>
      </c>
      <c r="C17" t="s">
        <v>19</v>
      </c>
      <c r="D17" s="1">
        <v>215330</v>
      </c>
      <c r="E17">
        <v>2</v>
      </c>
      <c r="F17" t="str">
        <f>TEXT(AVERAGE(ParseTime(RunTime1!F17),ParseTime(RunTime2!F17),ParseTime(RunTime3!F17),ParseTime(RunTime4!F17))/86400,"mm""m ""ss.00""s""") &amp; " ± " &amp; TEXT(_xlfn.STDEV.S(ParseTime(RunTime1!F17),ParseTime(RunTime2!F17),ParseTime(RunTime3!F17),ParseTime(RunTime4!F17))/86400,"mm""m ""ss.00""s""")</f>
        <v>00m 07.15s ± 00m 01.12s</v>
      </c>
      <c r="G17" t="str">
        <f>TEXT(AVERAGE(ParseTime(RunTime1!G17),ParseTime(RunTime2!G17),ParseTime(RunTime3!G17),ParseTime(RunTime4!G17))/86400,"mm""m ""ss.00""s""") &amp; " ± " &amp; TEXT(_xlfn.STDEV.S(ParseTime(RunTime1!G17),ParseTime(RunTime2!G17),ParseTime(RunTime3!G17),ParseTime(RunTime4!G17))/86400,"mm""m ""ss.00""s""")</f>
        <v>00m 02.54s ± 00m 00.31s</v>
      </c>
      <c r="H17" t="str">
        <f>TEXT(AVERAGE(ParseTime(RunTime1!H17),ParseTime(RunTime2!H17),ParseTime(RunTime3!H17),ParseTime(RunTime4!H17))/86400,"mm""m ""ss.00""s""") &amp; " ± " &amp; TEXT(_xlfn.STDEV.S(ParseTime(RunTime1!H17),ParseTime(RunTime2!H17),ParseTime(RunTime3!H17),ParseTime(RunTime4!H17))/86400,"mm""m ""ss.00""s""")</f>
        <v>00m 04.77s ± 00m 00.92s</v>
      </c>
      <c r="I17" t="str">
        <f>TEXT(AVERAGE(ParseTime(RunTime1!I17),ParseTime(RunTime2!I17),ParseTime(RunTime3!I17),ParseTime(RunTime4!I17))/86400,"mm""m ""ss.00""s""") &amp; " ± " &amp; TEXT(_xlfn.STDEV.S(ParseTime(RunTime1!I17),ParseTime(RunTime2!I17),ParseTime(RunTime3!I17),ParseTime(RunTime4!I17))/86400,"mm""m ""ss.00""s""")</f>
        <v>00m 03.88s ± 00m 00.56s</v>
      </c>
      <c r="J17" t="str">
        <f>TEXT(AVERAGE(ParseTime(RunTime1!J17),ParseTime(RunTime2!J17),ParseTime(RunTime3!J17),ParseTime(RunTime4!J17))/86400,"mm""m ""ss.00""s""") &amp; " ± " &amp; TEXT(_xlfn.STDEV.S(ParseTime(RunTime1!J17),ParseTime(RunTime2!J17),ParseTime(RunTime3!J17),ParseTime(RunTime4!J17))/86400,"mm""m ""ss.00""s""")</f>
        <v>00m 05.11s ± 00m 02.09s</v>
      </c>
      <c r="K17" s="2">
        <f>AVERAGE(ParseTime(RunTime1!G17),ParseTime(RunTime2!G17),ParseTime(RunTime3!G17),ParseTime(RunTime4!G17))/AVERAGE(ParseTime(RunTime1!H17),ParseTime(RunTime2!H17),ParseTime(RunTime3!H17),ParseTime(RunTime4!H17))</f>
        <v>0.53188815582783533</v>
      </c>
      <c r="L17" s="2">
        <f>AVERAGE(ParseTime(RunTime1!F17),ParseTime(RunTime2!F17),ParseTime(RunTime3!F17),ParseTime(RunTime4!F17))
/
AVERAGE(ParseTime(RunTime1!G17),ParseTime(RunTime2!G17),ParseTime(RunTime3!G17),ParseTime(RunTime4!G17))</f>
        <v>2.8153179759795237</v>
      </c>
      <c r="M17" s="2">
        <f>AVERAGE(ParseTime(RunTime1!F17),ParseTime(RunTime2!F17),ParseTime(RunTime3!F17),ParseTime(RunTime4!F17))
/
AVERAGE(ParseTime(RunTime1!H17),ParseTime(RunTime2!H17),ParseTime(RunTime3!H17),ParseTime(RunTime4!H17))</f>
        <v>1.497434286312703</v>
      </c>
      <c r="N17" s="2">
        <f>AVERAGE(ParseTime(RunTime1!I17),ParseTime(RunTime2!I17),ParseTime(RunTime3!I17),ParseTime(RunTime4!I17))/AVERAGE(ParseTime(RunTime1!J17),ParseTime(RunTime2!J17),ParseTime(RunTime3!J17),ParseTime(RunTime4!J17))</f>
        <v>0.75872192591867693</v>
      </c>
      <c r="O17" s="2">
        <f>AVERAGE(ParseTime(RunTime1!F17),ParseTime(RunTime2!F17),ParseTime(RunTime3!F17),ParseTime(RunTime4!F17))/AVERAGE(ParseTime(RunTime1!J17),ParseTime(RunTime2!J17),ParseTime(RunTime3!J17),ParseTime(RunTime4!J17))</f>
        <v>1.399324754122425</v>
      </c>
      <c r="P17" s="2">
        <f>AVERAGE(ParseTime(RunTime1!F17),ParseTime(RunTime2!F17),ParseTime(RunTime3!F17),ParseTime(RunTime4!F17))/AVERAGE(ParseTime(RunTime1!I17),ParseTime(RunTime2!I17),ParseTime(RunTime3!I17),ParseTime(RunTime4!I17))</f>
        <v>1.8443183283890106</v>
      </c>
      <c r="Q17" s="2">
        <f>AVERAGE(ParseTime(RunTime1!H17),ParseTime(RunTime2!H17),ParseTime(RunTime3!H17),ParseTime(RunTime4!H17))/AVERAGE(ParseTime(RunTime1!J17),ParseTime(RunTime2!J17),ParseTime(RunTime3!J17),ParseTime(RunTime4!J17))</f>
        <v>0.93448157753094863</v>
      </c>
      <c r="R17" s="2">
        <f>AVERAGE(ParseTime(RunTime1!G17),ParseTime(RunTime2!G17),ParseTime(RunTime3!G17),ParseTime(RunTime4!G17))/AVERAGE(ParseTime(RunTime1!I17),ParseTime(RunTime2!I17),ParseTime(RunTime3!I17),ParseTime(RunTime4!I17))</f>
        <v>0.6551012511285953</v>
      </c>
      <c r="S17" s="2">
        <f>AVERAGE(ParseTime(RunTime1!H17),ParseTime(RunTime2!H17),ParseTime(RunTime3!H17),ParseTime(RunTime4!H17))/AVERAGE(ParseTime(RunTime1!I17),ParseTime(RunTime2!I17),ParseTime(RunTime3!I17),ParseTime(RunTime4!I17))</f>
        <v>1.2316522636398812</v>
      </c>
      <c r="T17" s="2">
        <f>AVERAGE(ParseTime(RunTime1!G17),ParseTime(RunTime2!G17),ParseTime(RunTime3!G17),ParseTime(RunTime4!G17))/AVERAGE(ParseTime(RunTime1!J17),ParseTime(RunTime2!J17),ParseTime(RunTime3!J17),ParseTime(RunTime4!J17))</f>
        <v>0.49703968292802264</v>
      </c>
      <c r="U17" t="s">
        <v>18</v>
      </c>
    </row>
    <row r="18" spans="1:21" x14ac:dyDescent="0.25">
      <c r="A18" t="s">
        <v>294</v>
      </c>
      <c r="B18" t="s">
        <v>114</v>
      </c>
      <c r="C18" t="s">
        <v>11</v>
      </c>
      <c r="D18" s="1">
        <v>176918</v>
      </c>
      <c r="E18">
        <v>2</v>
      </c>
      <c r="F18" t="str">
        <f>TEXT(AVERAGE(ParseTime(RunTime1!F18),ParseTime(RunTime2!F18),ParseTime(RunTime3!F18),ParseTime(RunTime4!F18))/86400,"mm""m ""ss.00""s""") &amp; " ± " &amp; TEXT(_xlfn.STDEV.S(ParseTime(RunTime1!F18),ParseTime(RunTime2!F18),ParseTime(RunTime3!F18),ParseTime(RunTime4!F18))/86400,"mm""m ""ss.00""s""")</f>
        <v>08m 06.16s ± 00m 13.76s</v>
      </c>
      <c r="G18" t="str">
        <f>TEXT(AVERAGE(ParseTime(RunTime1!G18),ParseTime(RunTime2!G18),ParseTime(RunTime3!G18),ParseTime(RunTime4!G18))/86400,"mm""m ""ss.00""s""") &amp; " ± " &amp; TEXT(_xlfn.STDEV.S(ParseTime(RunTime1!G18),ParseTime(RunTime2!G18),ParseTime(RunTime3!G18),ParseTime(RunTime4!G18))/86400,"mm""m ""ss.00""s""")</f>
        <v>00m 03.22s ± 00m 00.80s</v>
      </c>
      <c r="H18" t="str">
        <f>TEXT(AVERAGE(ParseTime(RunTime1!H18),ParseTime(RunTime2!H18),ParseTime(RunTime3!H18),ParseTime(RunTime4!H18))/86400,"mm""m ""ss.00""s""") &amp; " ± " &amp; TEXT(_xlfn.STDEV.S(ParseTime(RunTime1!H18),ParseTime(RunTime2!H18),ParseTime(RunTime3!H18),ParseTime(RunTime4!H18))/86400,"mm""m ""ss.00""s""")</f>
        <v>00m 04.04s ± 00m 01.73s</v>
      </c>
      <c r="I18" t="str">
        <f>TEXT(AVERAGE(ParseTime(RunTime1!I18),ParseTime(RunTime2!I18),ParseTime(RunTime3!I18),ParseTime(RunTime4!I18))/86400,"mm""m ""ss.00""s""") &amp; " ± " &amp; TEXT(_xlfn.STDEV.S(ParseTime(RunTime1!I18),ParseTime(RunTime2!I18),ParseTime(RunTime3!I18),ParseTime(RunTime4!I18))/86400,"mm""m ""ss.00""s""")</f>
        <v>00m 04.01s ± 00m 00.61s</v>
      </c>
      <c r="J18" t="str">
        <f>TEXT(AVERAGE(ParseTime(RunTime1!J18),ParseTime(RunTime2!J18),ParseTime(RunTime3!J18),ParseTime(RunTime4!J18))/86400,"mm""m ""ss.00""s""") &amp; " ± " &amp; TEXT(_xlfn.STDEV.S(ParseTime(RunTime1!J18),ParseTime(RunTime2!J18),ParseTime(RunTime3!J18),ParseTime(RunTime4!J18))/86400,"mm""m ""ss.00""s""")</f>
        <v>00m 03.92s ± 00m 00.42s</v>
      </c>
      <c r="K18" s="2">
        <f>AVERAGE(ParseTime(RunTime1!G18),ParseTime(RunTime2!G18),ParseTime(RunTime3!G18),ParseTime(RunTime4!G18))/AVERAGE(ParseTime(RunTime1!H18),ParseTime(RunTime2!H18),ParseTime(RunTime3!H18),ParseTime(RunTime4!H18))</f>
        <v>0.79852640703362021</v>
      </c>
      <c r="L18" s="2">
        <f>AVERAGE(ParseTime(RunTime1!F18),ParseTime(RunTime2!F18),ParseTime(RunTime3!F18),ParseTime(RunTime4!F18))
/
AVERAGE(ParseTime(RunTime1!G18),ParseTime(RunTime2!G18),ParseTime(RunTime3!G18),ParseTime(RunTime4!G18))</f>
        <v>150.78180972319143</v>
      </c>
      <c r="M18" s="2">
        <f>AVERAGE(ParseTime(RunTime1!F18),ParseTime(RunTime2!F18),ParseTime(RunTime3!F18),ParseTime(RunTime4!F18))
/
AVERAGE(ParseTime(RunTime1!H18),ParseTime(RunTime2!H18),ParseTime(RunTime3!H18),ParseTime(RunTime4!H18))</f>
        <v>120.40325676428704</v>
      </c>
      <c r="N18" s="2">
        <f>AVERAGE(ParseTime(RunTime1!I18),ParseTime(RunTime2!I18),ParseTime(RunTime3!I18),ParseTime(RunTime4!I18))/AVERAGE(ParseTime(RunTime1!J18),ParseTime(RunTime2!J18),ParseTime(RunTime3!J18),ParseTime(RunTime4!J18))</f>
        <v>1.0238520408163265</v>
      </c>
      <c r="O18" s="2">
        <f>AVERAGE(ParseTime(RunTime1!F18),ParseTime(RunTime2!F18),ParseTime(RunTime3!F18),ParseTime(RunTime4!F18))/AVERAGE(ParseTime(RunTime1!J18),ParseTime(RunTime2!J18),ParseTime(RunTime3!J18),ParseTime(RunTime4!J18))</f>
        <v>124.01996173469387</v>
      </c>
      <c r="P18" s="2">
        <f>AVERAGE(ParseTime(RunTime1!F18),ParseTime(RunTime2!F18),ParseTime(RunTime3!F18),ParseTime(RunTime4!F18))/AVERAGE(ParseTime(RunTime1!I18),ParseTime(RunTime2!I18),ParseTime(RunTime3!I18),ParseTime(RunTime4!I18))</f>
        <v>121.13074623146879</v>
      </c>
      <c r="Q18" s="2">
        <f>AVERAGE(ParseTime(RunTime1!H18),ParseTime(RunTime2!H18),ParseTime(RunTime3!H18),ParseTime(RunTime4!H18))/AVERAGE(ParseTime(RunTime1!J18),ParseTime(RunTime2!J18),ParseTime(RunTime3!J18),ParseTime(RunTime4!J18))</f>
        <v>1.0300382653061224</v>
      </c>
      <c r="R18" s="2">
        <f>AVERAGE(ParseTime(RunTime1!G18),ParseTime(RunTime2!G18),ParseTime(RunTime3!G18),ParseTime(RunTime4!G18))/AVERAGE(ParseTime(RunTime1!I18),ParseTime(RunTime2!I18),ParseTime(RunTime3!I18),ParseTime(RunTime4!I18))</f>
        <v>0.8033511897346457</v>
      </c>
      <c r="S18" s="2">
        <f>AVERAGE(ParseTime(RunTime1!H18),ParseTime(RunTime2!H18),ParseTime(RunTime3!H18),ParseTime(RunTime4!H18))/AVERAGE(ParseTime(RunTime1!I18),ParseTime(RunTime2!I18),ParseTime(RunTime3!I18),ParseTime(RunTime4!I18))</f>
        <v>1.0060421078858852</v>
      </c>
      <c r="T18" s="2">
        <f>AVERAGE(ParseTime(RunTime1!G18),ParseTime(RunTime2!G18),ParseTime(RunTime3!G18),ParseTime(RunTime4!G18))/AVERAGE(ParseTime(RunTime1!J18),ParseTime(RunTime2!J18),ParseTime(RunTime3!J18),ParseTime(RunTime4!J18))</f>
        <v>0.8225127551020408</v>
      </c>
      <c r="U18" t="s">
        <v>18</v>
      </c>
    </row>
    <row r="19" spans="1:21" x14ac:dyDescent="0.25">
      <c r="A19" t="s">
        <v>294</v>
      </c>
      <c r="B19" t="s">
        <v>114</v>
      </c>
      <c r="C19" t="s">
        <v>19</v>
      </c>
      <c r="D19" s="1">
        <v>178143</v>
      </c>
      <c r="E19">
        <v>2</v>
      </c>
      <c r="F19" t="str">
        <f>TEXT(AVERAGE(ParseTime(RunTime1!F19),ParseTime(RunTime2!F19),ParseTime(RunTime3!F19),ParseTime(RunTime4!F19))/86400,"mm""m ""ss.00""s""") &amp; " ± " &amp; TEXT(_xlfn.STDEV.S(ParseTime(RunTime1!F19),ParseTime(RunTime2!F19),ParseTime(RunTime3!F19),ParseTime(RunTime4!F19))/86400,"mm""m ""ss.00""s""")</f>
        <v>08m 33.84s ± 01m 14.44s</v>
      </c>
      <c r="G19" t="str">
        <f>TEXT(AVERAGE(ParseTime(RunTime1!G19),ParseTime(RunTime2!G19),ParseTime(RunTime3!G19),ParseTime(RunTime4!G19))/86400,"mm""m ""ss.00""s""") &amp; " ± " &amp; TEXT(_xlfn.STDEV.S(ParseTime(RunTime1!G19),ParseTime(RunTime2!G19),ParseTime(RunTime3!G19),ParseTime(RunTime4!G19))/86400,"mm""m ""ss.00""s""")</f>
        <v>00m 02.16s ± 00m 00.09s</v>
      </c>
      <c r="H19" t="str">
        <f>TEXT(AVERAGE(ParseTime(RunTime1!H19),ParseTime(RunTime2!H19),ParseTime(RunTime3!H19),ParseTime(RunTime4!H19))/86400,"mm""m ""ss.00""s""") &amp; " ± " &amp; TEXT(_xlfn.STDEV.S(ParseTime(RunTime1!H19),ParseTime(RunTime2!H19),ParseTime(RunTime3!H19),ParseTime(RunTime4!H19))/86400,"mm""m ""ss.00""s""")</f>
        <v>00m 04.88s ± 00m 01.33s</v>
      </c>
      <c r="I19" t="str">
        <f>TEXT(AVERAGE(ParseTime(RunTime1!I19),ParseTime(RunTime2!I19),ParseTime(RunTime3!I19),ParseTime(RunTime4!I19))/86400,"mm""m ""ss.00""s""") &amp; " ± " &amp; TEXT(_xlfn.STDEV.S(ParseTime(RunTime1!I19),ParseTime(RunTime2!I19),ParseTime(RunTime3!I19),ParseTime(RunTime4!I19))/86400,"mm""m ""ss.00""s""")</f>
        <v>00m 03.55s ± 00m 00.30s</v>
      </c>
      <c r="J19" t="str">
        <f>TEXT(AVERAGE(ParseTime(RunTime1!J19),ParseTime(RunTime2!J19),ParseTime(RunTime3!J19),ParseTime(RunTime4!J19))/86400,"mm""m ""ss.00""s""") &amp; " ± " &amp; TEXT(_xlfn.STDEV.S(ParseTime(RunTime1!J19),ParseTime(RunTime2!J19),ParseTime(RunTime3!J19),ParseTime(RunTime4!J19))/86400,"mm""m ""ss.00""s""")</f>
        <v>00m 04.35s ± 00m 00.64s</v>
      </c>
      <c r="K19" s="2">
        <f>AVERAGE(ParseTime(RunTime1!G19),ParseTime(RunTime2!G19),ParseTime(RunTime3!G19),ParseTime(RunTime4!G19))/AVERAGE(ParseTime(RunTime1!H19),ParseTime(RunTime2!H19),ParseTime(RunTime3!H19),ParseTime(RunTime4!H19))</f>
        <v>0.44185689425734459</v>
      </c>
      <c r="L19" s="2">
        <f>AVERAGE(ParseTime(RunTime1!F19),ParseTime(RunTime2!F19),ParseTime(RunTime3!F19),ParseTime(RunTime4!F19))
/
AVERAGE(ParseTime(RunTime1!G19),ParseTime(RunTime2!G19),ParseTime(RunTime3!G19),ParseTime(RunTime4!G19))</f>
        <v>238.08120004633386</v>
      </c>
      <c r="M19" s="2">
        <f>AVERAGE(ParseTime(RunTime1!F19),ParseTime(RunTime2!F19),ParseTime(RunTime3!F19),ParseTime(RunTime4!F19))
/
AVERAGE(ParseTime(RunTime1!H19),ParseTime(RunTime2!H19),ParseTime(RunTime3!H19),ParseTime(RunTime4!H19))</f>
        <v>105.19781963353465</v>
      </c>
      <c r="N19" s="2">
        <f>AVERAGE(ParseTime(RunTime1!I19),ParseTime(RunTime2!I19),ParseTime(RunTime3!I19),ParseTime(RunTime4!I19))/AVERAGE(ParseTime(RunTime1!J19),ParseTime(RunTime2!J19),ParseTime(RunTime3!J19),ParseTime(RunTime4!J19))</f>
        <v>0.81558247689039443</v>
      </c>
      <c r="O19" s="2">
        <f>AVERAGE(ParseTime(RunTime1!F19),ParseTime(RunTime2!F19),ParseTime(RunTime3!F19),ParseTime(RunTime4!F19))/AVERAGE(ParseTime(RunTime1!J19),ParseTime(RunTime2!J19),ParseTime(RunTime3!J19),ParseTime(RunTime4!J19))</f>
        <v>118.00855486019405</v>
      </c>
      <c r="P19" s="2">
        <f>AVERAGE(ParseTime(RunTime1!F19),ParseTime(RunTime2!F19),ParseTime(RunTime3!F19),ParseTime(RunTime4!F19))/AVERAGE(ParseTime(RunTime1!I19),ParseTime(RunTime2!I19),ParseTime(RunTime3!I19),ParseTime(RunTime4!I19))</f>
        <v>144.69236184442099</v>
      </c>
      <c r="Q19" s="2">
        <f>AVERAGE(ParseTime(RunTime1!H19),ParseTime(RunTime2!H19),ParseTime(RunTime3!H19),ParseTime(RunTime4!H19))/AVERAGE(ParseTime(RunTime1!J19),ParseTime(RunTime2!J19),ParseTime(RunTime3!J19),ParseTime(RunTime4!J19))</f>
        <v>1.1217775736349542</v>
      </c>
      <c r="R19" s="2">
        <f>AVERAGE(ParseTime(RunTime1!G19),ParseTime(RunTime2!G19),ParseTime(RunTime3!G19),ParseTime(RunTime4!G19))/AVERAGE(ParseTime(RunTime1!I19),ParseTime(RunTime2!I19),ParseTime(RunTime3!I19),ParseTime(RunTime4!I19))</f>
        <v>0.60774375219992949</v>
      </c>
      <c r="S19" s="2">
        <f>AVERAGE(ParseTime(RunTime1!H19),ParseTime(RunTime2!H19),ParseTime(RunTime3!H19),ParseTime(RunTime4!H19))/AVERAGE(ParseTime(RunTime1!I19),ParseTime(RunTime2!I19),ParseTime(RunTime3!I19),ParseTime(RunTime4!I19))</f>
        <v>1.3754311862020416</v>
      </c>
      <c r="T19" s="2">
        <f>AVERAGE(ParseTime(RunTime1!G19),ParseTime(RunTime2!G19),ParseTime(RunTime3!G19),ParseTime(RunTime4!G19))/AVERAGE(ParseTime(RunTime1!J19),ParseTime(RunTime2!J19),ParseTime(RunTime3!J19),ParseTime(RunTime4!J19))</f>
        <v>0.49566515473388062</v>
      </c>
      <c r="U19" t="s">
        <v>18</v>
      </c>
    </row>
    <row r="20" spans="1:21" x14ac:dyDescent="0.25">
      <c r="A20" t="s">
        <v>294</v>
      </c>
      <c r="B20" t="s">
        <v>127</v>
      </c>
      <c r="C20" t="s">
        <v>11</v>
      </c>
      <c r="D20" s="1">
        <v>209222</v>
      </c>
      <c r="E20">
        <v>2</v>
      </c>
      <c r="F20" t="str">
        <f>TEXT(AVERAGE(ParseTime(RunTime1!F20),ParseTime(RunTime2!F20),ParseTime(RunTime3!F20),ParseTime(RunTime4!F20))/86400,"mm""m ""ss.00""s""") &amp; " ± " &amp; TEXT(_xlfn.STDEV.S(ParseTime(RunTime1!F20),ParseTime(RunTime2!F20),ParseTime(RunTime3!F20),ParseTime(RunTime4!F20))/86400,"mm""m ""ss.00""s""")</f>
        <v>00m 06.92s ± 00m 00.92s</v>
      </c>
      <c r="G20" t="str">
        <f>TEXT(AVERAGE(ParseTime(RunTime1!G20),ParseTime(RunTime2!G20),ParseTime(RunTime3!G20),ParseTime(RunTime4!G20))/86400,"mm""m ""ss.00""s""") &amp; " ± " &amp; TEXT(_xlfn.STDEV.S(ParseTime(RunTime1!G20),ParseTime(RunTime2!G20),ParseTime(RunTime3!G20),ParseTime(RunTime4!G20))/86400,"mm""m ""ss.00""s""")</f>
        <v>00m 02.96s ± 00m 00.51s</v>
      </c>
      <c r="H20" t="str">
        <f>TEXT(AVERAGE(ParseTime(RunTime1!H20),ParseTime(RunTime2!H20),ParseTime(RunTime3!H20),ParseTime(RunTime4!H20))/86400,"mm""m ""ss.00""s""") &amp; " ± " &amp; TEXT(_xlfn.STDEV.S(ParseTime(RunTime1!H20),ParseTime(RunTime2!H20),ParseTime(RunTime3!H20),ParseTime(RunTime4!H20))/86400,"mm""m ""ss.00""s""")</f>
        <v>00m 03.24s ± 00m 00.40s</v>
      </c>
      <c r="I20" t="str">
        <f>TEXT(AVERAGE(ParseTime(RunTime1!I20),ParseTime(RunTime2!I20),ParseTime(RunTime3!I20),ParseTime(RunTime4!I20))/86400,"mm""m ""ss.00""s""") &amp; " ± " &amp; TEXT(_xlfn.STDEV.S(ParseTime(RunTime1!I20),ParseTime(RunTime2!I20),ParseTime(RunTime3!I20),ParseTime(RunTime4!I20))/86400,"mm""m ""ss.00""s""")</f>
        <v>00m 03.28s ± 00m 00.11s</v>
      </c>
      <c r="J20" t="str">
        <f>TEXT(AVERAGE(ParseTime(RunTime1!J20),ParseTime(RunTime2!J20),ParseTime(RunTime3!J20),ParseTime(RunTime4!J20))/86400,"mm""m ""ss.00""s""") &amp; " ± " &amp; TEXT(_xlfn.STDEV.S(ParseTime(RunTime1!J20),ParseTime(RunTime2!J20),ParseTime(RunTime3!J20),ParseTime(RunTime4!J20))/86400,"mm""m ""ss.00""s""")</f>
        <v>00m 04.43s ± 00m 00.68s</v>
      </c>
      <c r="K20" s="2">
        <f>AVERAGE(ParseTime(RunTime1!G20),ParseTime(RunTime2!G20),ParseTime(RunTime3!G20),ParseTime(RunTime4!G20))/AVERAGE(ParseTime(RunTime1!H20),ParseTime(RunTime2!H20),ParseTime(RunTime3!H20),ParseTime(RunTime4!H20))</f>
        <v>0.91330193777503288</v>
      </c>
      <c r="L20" s="2">
        <f>AVERAGE(ParseTime(RunTime1!F20),ParseTime(RunTime2!F20),ParseTime(RunTime3!F20),ParseTime(RunTime4!F20))
/
AVERAGE(ParseTime(RunTime1!G20),ParseTime(RunTime2!G20),ParseTime(RunTime3!G20),ParseTime(RunTime4!G20))</f>
        <v>2.3404057480980551</v>
      </c>
      <c r="M20" s="2">
        <f>AVERAGE(ParseTime(RunTime1!F20),ParseTime(RunTime2!F20),ParseTime(RunTime3!F20),ParseTime(RunTime4!F20))
/
AVERAGE(ParseTime(RunTime1!H20),ParseTime(RunTime2!H20),ParseTime(RunTime3!H20),ParseTime(RunTime4!H20))</f>
        <v>2.1374971049177791</v>
      </c>
      <c r="N20" s="2">
        <f>AVERAGE(ParseTime(RunTime1!I20),ParseTime(RunTime2!I20),ParseTime(RunTime3!I20),ParseTime(RunTime4!I20))/AVERAGE(ParseTime(RunTime1!J20),ParseTime(RunTime2!J20),ParseTime(RunTime3!J20),ParseTime(RunTime4!J20))</f>
        <v>0.74039166995880135</v>
      </c>
      <c r="O20" s="2">
        <f>AVERAGE(ParseTime(RunTime1!F20),ParseTime(RunTime2!F20),ParseTime(RunTime3!F20),ParseTime(RunTime4!F20))/AVERAGE(ParseTime(RunTime1!J20),ParseTime(RunTime2!J20),ParseTime(RunTime3!J20),ParseTime(RunTime4!J20))</f>
        <v>1.5625599638805803</v>
      </c>
      <c r="P20" s="2">
        <f>AVERAGE(ParseTime(RunTime1!F20),ParseTime(RunTime2!F20),ParseTime(RunTime3!F20),ParseTime(RunTime4!F20))/AVERAGE(ParseTime(RunTime1!I20),ParseTime(RunTime2!I20),ParseTime(RunTime3!I20),ParseTime(RunTime4!I20))</f>
        <v>2.1104504916533271</v>
      </c>
      <c r="Q20" s="2">
        <f>AVERAGE(ParseTime(RunTime1!H20),ParseTime(RunTime2!H20),ParseTime(RunTime3!H20),ParseTime(RunTime4!H20))/AVERAGE(ParseTime(RunTime1!J20),ParseTime(RunTime2!J20),ParseTime(RunTime3!J20),ParseTime(RunTime4!J20))</f>
        <v>0.73102319543992345</v>
      </c>
      <c r="R20" s="2">
        <f>AVERAGE(ParseTime(RunTime1!G20),ParseTime(RunTime2!G20),ParseTime(RunTime3!G20),ParseTime(RunTime4!G20))/AVERAGE(ParseTime(RunTime1!I20),ParseTime(RunTime2!I20),ParseTime(RunTime3!I20),ParseTime(RunTime4!I20))</f>
        <v>0.90174555987499061</v>
      </c>
      <c r="S20" s="2">
        <f>AVERAGE(ParseTime(RunTime1!H20),ParseTime(RunTime2!H20),ParseTime(RunTime3!H20),ParseTime(RunTime4!H20))/AVERAGE(ParseTime(RunTime1!I20),ParseTime(RunTime2!I20),ParseTime(RunTime3!I20),ParseTime(RunTime4!I20))</f>
        <v>0.98734659653937051</v>
      </c>
      <c r="T20" s="2">
        <f>AVERAGE(ParseTime(RunTime1!G20),ParseTime(RunTime2!G20),ParseTime(RunTime3!G20),ParseTime(RunTime4!G20))/AVERAGE(ParseTime(RunTime1!J20),ParseTime(RunTime2!J20),ParseTime(RunTime3!J20),ParseTime(RunTime4!J20))</f>
        <v>0.6676449009537786</v>
      </c>
      <c r="U20" t="s">
        <v>18</v>
      </c>
    </row>
    <row r="21" spans="1:21" x14ac:dyDescent="0.25">
      <c r="A21" t="s">
        <v>294</v>
      </c>
      <c r="B21" t="s">
        <v>127</v>
      </c>
      <c r="C21" t="s">
        <v>19</v>
      </c>
      <c r="D21" s="1">
        <v>208613</v>
      </c>
      <c r="E21">
        <v>2</v>
      </c>
      <c r="F21" t="str">
        <f>TEXT(AVERAGE(ParseTime(RunTime1!F21),ParseTime(RunTime2!F21),ParseTime(RunTime3!F21),ParseTime(RunTime4!F21))/86400,"mm""m ""ss.00""s""") &amp; " ± " &amp; TEXT(_xlfn.STDEV.S(ParseTime(RunTime1!F21),ParseTime(RunTime2!F21),ParseTime(RunTime3!F21),ParseTime(RunTime4!F21))/86400,"mm""m ""ss.00""s""")</f>
        <v>00m 08.09s ± 00m 00.58s</v>
      </c>
      <c r="G21" t="str">
        <f>TEXT(AVERAGE(ParseTime(RunTime1!G21),ParseTime(RunTime2!G21),ParseTime(RunTime3!G21),ParseTime(RunTime4!G21))/86400,"mm""m ""ss.00""s""") &amp; " ± " &amp; TEXT(_xlfn.STDEV.S(ParseTime(RunTime1!G21),ParseTime(RunTime2!G21),ParseTime(RunTime3!G21),ParseTime(RunTime4!G21))/86400,"mm""m ""ss.00""s""")</f>
        <v>00m 02.23s ± 00m 00.07s</v>
      </c>
      <c r="H21" t="str">
        <f>TEXT(AVERAGE(ParseTime(RunTime1!H21),ParseTime(RunTime2!H21),ParseTime(RunTime3!H21),ParseTime(RunTime4!H21))/86400,"mm""m ""ss.00""s""") &amp; " ± " &amp; TEXT(_xlfn.STDEV.S(ParseTime(RunTime1!H21),ParseTime(RunTime2!H21),ParseTime(RunTime3!H21),ParseTime(RunTime4!H21))/86400,"mm""m ""ss.00""s""")</f>
        <v>00m 04.33s ± 00m 01.60s</v>
      </c>
      <c r="I21" t="str">
        <f>TEXT(AVERAGE(ParseTime(RunTime1!I21),ParseTime(RunTime2!I21),ParseTime(RunTime3!I21),ParseTime(RunTime4!I21))/86400,"mm""m ""ss.00""s""") &amp; " ± " &amp; TEXT(_xlfn.STDEV.S(ParseTime(RunTime1!I21),ParseTime(RunTime2!I21),ParseTime(RunTime3!I21),ParseTime(RunTime4!I21))/86400,"mm""m ""ss.00""s""")</f>
        <v>00m 03.24s ± 00m 00.09s</v>
      </c>
      <c r="J21" t="str">
        <f>TEXT(AVERAGE(ParseTime(RunTime1!J21),ParseTime(RunTime2!J21),ParseTime(RunTime3!J21),ParseTime(RunTime4!J21))/86400,"mm""m ""ss.00""s""") &amp; " ± " &amp; TEXT(_xlfn.STDEV.S(ParseTime(RunTime1!J21),ParseTime(RunTime2!J21),ParseTime(RunTime3!J21),ParseTime(RunTime4!J21))/86400,"mm""m ""ss.00""s""")</f>
        <v>00m 04.30s ± 00m 00.70s</v>
      </c>
      <c r="K21" s="2">
        <f>AVERAGE(ParseTime(RunTime1!G21),ParseTime(RunTime2!G21),ParseTime(RunTime3!G21),ParseTime(RunTime4!G21))/AVERAGE(ParseTime(RunTime1!H21),ParseTime(RunTime2!H21),ParseTime(RunTime3!H21),ParseTime(RunTime4!H21))</f>
        <v>0.51475428769417331</v>
      </c>
      <c r="L21" s="2">
        <f>AVERAGE(ParseTime(RunTime1!F21),ParseTime(RunTime2!F21),ParseTime(RunTime3!F21),ParseTime(RunTime4!F21))
/
AVERAGE(ParseTime(RunTime1!G21),ParseTime(RunTime2!G21),ParseTime(RunTime3!G21),ParseTime(RunTime4!G21))</f>
        <v>3.6293470944581556</v>
      </c>
      <c r="M21" s="2">
        <f>AVERAGE(ParseTime(RunTime1!F21),ParseTime(RunTime2!F21),ParseTime(RunTime3!F21),ParseTime(RunTime4!F21))
/
AVERAGE(ParseTime(RunTime1!H21),ParseTime(RunTime2!H21),ParseTime(RunTime3!H21),ParseTime(RunTime4!H21))</f>
        <v>1.8682219784027254</v>
      </c>
      <c r="N21" s="2">
        <f>AVERAGE(ParseTime(RunTime1!I21),ParseTime(RunTime2!I21),ParseTime(RunTime3!I21),ParseTime(RunTime4!I21))/AVERAGE(ParseTime(RunTime1!J21),ParseTime(RunTime2!J21),ParseTime(RunTime3!J21),ParseTime(RunTime4!J21))</f>
        <v>0.75428903751090426</v>
      </c>
      <c r="O21" s="2">
        <f>AVERAGE(ParseTime(RunTime1!F21),ParseTime(RunTime2!F21),ParseTime(RunTime3!F21),ParseTime(RunTime4!F21))/AVERAGE(ParseTime(RunTime1!J21),ParseTime(RunTime2!J21),ParseTime(RunTime3!J21),ParseTime(RunTime4!J21))</f>
        <v>1.8814771735969757</v>
      </c>
      <c r="P21" s="2">
        <f>AVERAGE(ParseTime(RunTime1!F21),ParseTime(RunTime2!F21),ParseTime(RunTime3!F21),ParseTime(RunTime4!F21))/AVERAGE(ParseTime(RunTime1!I21),ParseTime(RunTime2!I21),ParseTime(RunTime3!I21),ParseTime(RunTime4!I21))</f>
        <v>2.4943716268311489</v>
      </c>
      <c r="Q21" s="2">
        <f>AVERAGE(ParseTime(RunTime1!H21),ParseTime(RunTime2!H21),ParseTime(RunTime3!H21),ParseTime(RunTime4!H21))/AVERAGE(ParseTime(RunTime1!J21),ParseTime(RunTime2!J21),ParseTime(RunTime3!J21),ParseTime(RunTime4!J21))</f>
        <v>1.0070950857807501</v>
      </c>
      <c r="R21" s="2">
        <f>AVERAGE(ParseTime(RunTime1!G21),ParseTime(RunTime2!G21),ParseTime(RunTime3!G21),ParseTime(RunTime4!G21))/AVERAGE(ParseTime(RunTime1!I21),ParseTime(RunTime2!I21),ParseTime(RunTime3!I21),ParseTime(RunTime4!I21))</f>
        <v>0.68727833461835008</v>
      </c>
      <c r="S21" s="2">
        <f>AVERAGE(ParseTime(RunTime1!H21),ParseTime(RunTime2!H21),ParseTime(RunTime3!H21),ParseTime(RunTime4!H21))/AVERAGE(ParseTime(RunTime1!I21),ParseTime(RunTime2!I21),ParseTime(RunTime3!I21),ParseTime(RunTime4!I21))</f>
        <v>1.3351580570547419</v>
      </c>
      <c r="T21" s="2">
        <f>AVERAGE(ParseTime(RunTime1!G21),ParseTime(RunTime2!G21),ParseTime(RunTime3!G21),ParseTime(RunTime4!G21))/AVERAGE(ParseTime(RunTime1!J21),ParseTime(RunTime2!J21),ParseTime(RunTime3!J21),ParseTime(RunTime4!J21))</f>
        <v>0.51840651352137246</v>
      </c>
      <c r="U21" t="s">
        <v>18</v>
      </c>
    </row>
    <row r="22" spans="1:21" x14ac:dyDescent="0.25">
      <c r="A22" t="s">
        <v>294</v>
      </c>
      <c r="B22" t="s">
        <v>139</v>
      </c>
      <c r="C22" t="s">
        <v>11</v>
      </c>
      <c r="D22" s="1">
        <v>211435</v>
      </c>
      <c r="E22">
        <v>2</v>
      </c>
      <c r="F22" t="str">
        <f>TEXT(AVERAGE(ParseTime(RunTime1!F22),ParseTime(RunTime2!F22),ParseTime(RunTime3!F22),ParseTime(RunTime4!F22))/86400,"mm""m ""ss.00""s""") &amp; " ± " &amp; TEXT(_xlfn.STDEV.S(ParseTime(RunTime1!F22),ParseTime(RunTime2!F22),ParseTime(RunTime3!F22),ParseTime(RunTime4!F22))/86400,"mm""m ""ss.00""s""")</f>
        <v>00m 07.71s ± 00m 00.77s</v>
      </c>
      <c r="G22" t="str">
        <f>TEXT(AVERAGE(ParseTime(RunTime1!G22),ParseTime(RunTime2!G22),ParseTime(RunTime3!G22),ParseTime(RunTime4!G22))/86400,"mm""m ""ss.00""s""") &amp; " ± " &amp; TEXT(_xlfn.STDEV.S(ParseTime(RunTime1!G22),ParseTime(RunTime2!G22),ParseTime(RunTime3!G22),ParseTime(RunTime4!G22))/86400,"mm""m ""ss.00""s""")</f>
        <v>00m 02.88s ± 00m 00.41s</v>
      </c>
      <c r="H22" t="str">
        <f>TEXT(AVERAGE(ParseTime(RunTime1!H22),ParseTime(RunTime2!H22),ParseTime(RunTime3!H22),ParseTime(RunTime4!H22))/86400,"mm""m ""ss.00""s""") &amp; " ± " &amp; TEXT(_xlfn.STDEV.S(ParseTime(RunTime1!H22),ParseTime(RunTime2!H22),ParseTime(RunTime3!H22),ParseTime(RunTime4!H22))/86400,"mm""m ""ss.00""s""")</f>
        <v>00m 03.24s ± 00m 00.95s</v>
      </c>
      <c r="I22" t="str">
        <f>TEXT(AVERAGE(ParseTime(RunTime1!I22),ParseTime(RunTime2!I22),ParseTime(RunTime3!I22),ParseTime(RunTime4!I22))/86400,"mm""m ""ss.00""s""") &amp; " ± " &amp; TEXT(_xlfn.STDEV.S(ParseTime(RunTime1!I22),ParseTime(RunTime2!I22),ParseTime(RunTime3!I22),ParseTime(RunTime4!I22))/86400,"mm""m ""ss.00""s""")</f>
        <v>00m 03.24s ± 00m 00.12s</v>
      </c>
      <c r="J22" t="str">
        <f>TEXT(AVERAGE(ParseTime(RunTime1!J22),ParseTime(RunTime2!J22),ParseTime(RunTime3!J22),ParseTime(RunTime4!J22))/86400,"mm""m ""ss.00""s""") &amp; " ± " &amp; TEXT(_xlfn.STDEV.S(ParseTime(RunTime1!J22),ParseTime(RunTime2!J22),ParseTime(RunTime3!J22),ParseTime(RunTime4!J22))/86400,"mm""m ""ss.00""s""")</f>
        <v>00m 04.28s ± 00m 00.42s</v>
      </c>
      <c r="K22" s="2">
        <f>AVERAGE(ParseTime(RunTime1!G22),ParseTime(RunTime2!G22),ParseTime(RunTime3!G22),ParseTime(RunTime4!G22))/AVERAGE(ParseTime(RunTime1!H22),ParseTime(RunTime2!H22),ParseTime(RunTime3!H22),ParseTime(RunTime4!H22))</f>
        <v>0.89012431472473164</v>
      </c>
      <c r="L22" s="2">
        <f>AVERAGE(ParseTime(RunTime1!F22),ParseTime(RunTime2!F22),ParseTime(RunTime3!F22),ParseTime(RunTime4!F22))
/
AVERAGE(ParseTime(RunTime1!G22),ParseTime(RunTime2!G22),ParseTime(RunTime3!G22),ParseTime(RunTime4!G22))</f>
        <v>2.6740978487161691</v>
      </c>
      <c r="M22" s="2">
        <f>AVERAGE(ParseTime(RunTime1!F22),ParseTime(RunTime2!F22),ParseTime(RunTime3!F22),ParseTime(RunTime4!F22))
/
AVERAGE(ParseTime(RunTime1!H22),ParseTime(RunTime2!H22),ParseTime(RunTime3!H22),ParseTime(RunTime4!H22))</f>
        <v>2.3802795150953591</v>
      </c>
      <c r="N22" s="2">
        <f>AVERAGE(ParseTime(RunTime1!I22),ParseTime(RunTime2!I22),ParseTime(RunTime3!I22),ParseTime(RunTime4!I22))/AVERAGE(ParseTime(RunTime1!J22),ParseTime(RunTime2!J22),ParseTime(RunTime3!J22),ParseTime(RunTime4!J22))</f>
        <v>0.7579617834394905</v>
      </c>
      <c r="O22" s="2">
        <f>AVERAGE(ParseTime(RunTime1!F22),ParseTime(RunTime2!F22),ParseTime(RunTime3!F22),ParseTime(RunTime4!F22))/AVERAGE(ParseTime(RunTime1!J22),ParseTime(RunTime2!J22),ParseTime(RunTime3!J22),ParseTime(RunTime4!J22))</f>
        <v>1.8013790685443813</v>
      </c>
      <c r="P22" s="2">
        <f>AVERAGE(ParseTime(RunTime1!F22),ParseTime(RunTime2!F22),ParseTime(RunTime3!F22),ParseTime(RunTime4!F22))/AVERAGE(ParseTime(RunTime1!I22),ParseTime(RunTime2!I22),ParseTime(RunTime3!I22),ParseTime(RunTime4!I22))</f>
        <v>2.3766093593400663</v>
      </c>
      <c r="Q22" s="2">
        <f>AVERAGE(ParseTime(RunTime1!H22),ParseTime(RunTime2!H22),ParseTime(RunTime3!H22),ParseTime(RunTime4!H22))/AVERAGE(ParseTime(RunTime1!J22),ParseTime(RunTime2!J22),ParseTime(RunTime3!J22),ParseTime(RunTime4!J22))</f>
        <v>0.75679308128323497</v>
      </c>
      <c r="R22" s="2">
        <f>AVERAGE(ParseTime(RunTime1!G22),ParseTime(RunTime2!G22),ParseTime(RunTime3!G22),ParseTime(RunTime4!G22))/AVERAGE(ParseTime(RunTime1!I22),ParseTime(RunTime2!I22),ParseTime(RunTime3!I22),ParseTime(RunTime4!I22))</f>
        <v>0.88875183100763244</v>
      </c>
      <c r="S22" s="2">
        <f>AVERAGE(ParseTime(RunTime1!H22),ParseTime(RunTime2!H22),ParseTime(RunTime3!H22),ParseTime(RunTime4!H22))/AVERAGE(ParseTime(RunTime1!I22),ParseTime(RunTime2!I22),ParseTime(RunTime3!I22),ParseTime(RunTime4!I22))</f>
        <v>0.99845809883586467</v>
      </c>
      <c r="T22" s="2">
        <f>AVERAGE(ParseTime(RunTime1!G22),ParseTime(RunTime2!G22),ParseTime(RunTime3!G22),ParseTime(RunTime4!G22))/AVERAGE(ParseTime(RunTime1!J22),ParseTime(RunTime2!J22),ParseTime(RunTime3!J22),ParseTime(RunTime4!J22))</f>
        <v>0.67363992286565777</v>
      </c>
      <c r="U22" t="s">
        <v>18</v>
      </c>
    </row>
    <row r="23" spans="1:21" x14ac:dyDescent="0.25">
      <c r="A23" t="s">
        <v>294</v>
      </c>
      <c r="B23" t="s">
        <v>139</v>
      </c>
      <c r="C23" t="s">
        <v>19</v>
      </c>
      <c r="D23" s="1">
        <v>207634</v>
      </c>
      <c r="E23">
        <v>2</v>
      </c>
      <c r="F23" t="str">
        <f>TEXT(AVERAGE(ParseTime(RunTime1!F23),ParseTime(RunTime2!F23),ParseTime(RunTime3!F23),ParseTime(RunTime4!F23))/86400,"mm""m ""ss.00""s""") &amp; " ± " &amp; TEXT(_xlfn.STDEV.S(ParseTime(RunTime1!F23),ParseTime(RunTime2!F23),ParseTime(RunTime3!F23),ParseTime(RunTime4!F23))/86400,"mm""m ""ss.00""s""")</f>
        <v>00m 06.06s ± 00m 00.36s</v>
      </c>
      <c r="G23" t="str">
        <f>TEXT(AVERAGE(ParseTime(RunTime1!G23),ParseTime(RunTime2!G23),ParseTime(RunTime3!G23),ParseTime(RunTime4!G23))/86400,"mm""m ""ss.00""s""") &amp; " ± " &amp; TEXT(_xlfn.STDEV.S(ParseTime(RunTime1!G23),ParseTime(RunTime2!G23),ParseTime(RunTime3!G23),ParseTime(RunTime4!G23))/86400,"mm""m ""ss.00""s""")</f>
        <v>00m 03.14s ± 00m 00.60s</v>
      </c>
      <c r="H23" t="str">
        <f>TEXT(AVERAGE(ParseTime(RunTime1!H23),ParseTime(RunTime2!H23),ParseTime(RunTime3!H23),ParseTime(RunTime4!H23))/86400,"mm""m ""ss.00""s""") &amp; " ± " &amp; TEXT(_xlfn.STDEV.S(ParseTime(RunTime1!H23),ParseTime(RunTime2!H23),ParseTime(RunTime3!H23),ParseTime(RunTime4!H23))/86400,"mm""m ""ss.00""s""")</f>
        <v>00m 03.67s ± 00m 01.25s</v>
      </c>
      <c r="I23" t="str">
        <f>TEXT(AVERAGE(ParseTime(RunTime1!I23),ParseTime(RunTime2!I23),ParseTime(RunTime3!I23),ParseTime(RunTime4!I23))/86400,"mm""m ""ss.00""s""") &amp; " ± " &amp; TEXT(_xlfn.STDEV.S(ParseTime(RunTime1!I23),ParseTime(RunTime2!I23),ParseTime(RunTime3!I23),ParseTime(RunTime4!I23))/86400,"mm""m ""ss.00""s""")</f>
        <v>00m 03.24s ± 00m 00.06s</v>
      </c>
      <c r="J23" t="str">
        <f>TEXT(AVERAGE(ParseTime(RunTime1!J23),ParseTime(RunTime2!J23),ParseTime(RunTime3!J23),ParseTime(RunTime4!J23))/86400,"mm""m ""ss.00""s""") &amp; " ± " &amp; TEXT(_xlfn.STDEV.S(ParseTime(RunTime1!J23),ParseTime(RunTime2!J23),ParseTime(RunTime3!J23),ParseTime(RunTime4!J23))/86400,"mm""m ""ss.00""s""")</f>
        <v>00m 03.97s ± 00m 00.65s</v>
      </c>
      <c r="K23" s="2">
        <f>AVERAGE(ParseTime(RunTime1!G23),ParseTime(RunTime2!G23),ParseTime(RunTime3!G23),ParseTime(RunTime4!G23))/AVERAGE(ParseTime(RunTime1!H23),ParseTime(RunTime2!H23),ParseTime(RunTime3!H23),ParseTime(RunTime4!H23))</f>
        <v>0.85536431049731287</v>
      </c>
      <c r="L23" s="2">
        <f>AVERAGE(ParseTime(RunTime1!F23),ParseTime(RunTime2!F23),ParseTime(RunTime3!F23),ParseTime(RunTime4!F23))
/
AVERAGE(ParseTime(RunTime1!G23),ParseTime(RunTime2!G23),ParseTime(RunTime3!G23),ParseTime(RunTime4!G23))</f>
        <v>1.9269068639147382</v>
      </c>
      <c r="M23" s="2">
        <f>AVERAGE(ParseTime(RunTime1!F23),ParseTime(RunTime2!F23),ParseTime(RunTime3!F23),ParseTime(RunTime4!F23))
/
AVERAGE(ParseTime(RunTime1!H23),ParseTime(RunTime2!H23),ParseTime(RunTime3!H23),ParseTime(RunTime4!H23))</f>
        <v>1.6482073610449695</v>
      </c>
      <c r="N23" s="2">
        <f>AVERAGE(ParseTime(RunTime1!I23),ParseTime(RunTime2!I23),ParseTime(RunTime3!I23),ParseTime(RunTime4!I23))/AVERAGE(ParseTime(RunTime1!J23),ParseTime(RunTime2!J23),ParseTime(RunTime3!J23),ParseTime(RunTime4!J23))</f>
        <v>0.81672855434577385</v>
      </c>
      <c r="O23" s="2">
        <f>AVERAGE(ParseTime(RunTime1!F23),ParseTime(RunTime2!F23),ParseTime(RunTime3!F23),ParseTime(RunTime4!F23))/AVERAGE(ParseTime(RunTime1!J23),ParseTime(RunTime2!J23),ParseTime(RunTime3!J23),ParseTime(RunTime4!J23))</f>
        <v>1.5247655610799928</v>
      </c>
      <c r="P23" s="2">
        <f>AVERAGE(ParseTime(RunTime1!F23),ParseTime(RunTime2!F23),ParseTime(RunTime3!F23),ParseTime(RunTime4!F23))/AVERAGE(ParseTime(RunTime1!I23),ParseTime(RunTime2!I23),ParseTime(RunTime3!I23),ParseTime(RunTime4!I23))</f>
        <v>1.8669183940818372</v>
      </c>
      <c r="Q23" s="2">
        <f>AVERAGE(ParseTime(RunTime1!H23),ParseTime(RunTime2!H23),ParseTime(RunTime3!H23),ParseTime(RunTime4!H23))/AVERAGE(ParseTime(RunTime1!J23),ParseTime(RunTime2!J23),ParseTime(RunTime3!J23),ParseTime(RunTime4!J23))</f>
        <v>0.92510541884322484</v>
      </c>
      <c r="R23" s="2">
        <f>AVERAGE(ParseTime(RunTime1!G23),ParseTime(RunTime2!G23),ParseTime(RunTime3!G23),ParseTime(RunTime4!G23))/AVERAGE(ParseTime(RunTime1!I23),ParseTime(RunTime2!I23),ParseTime(RunTime3!I23),ParseTime(RunTime4!I23))</f>
        <v>0.96886799722586114</v>
      </c>
      <c r="S23" s="2">
        <f>AVERAGE(ParseTime(RunTime1!H23),ParseTime(RunTime2!H23),ParseTime(RunTime3!H23),ParseTime(RunTime4!H23))/AVERAGE(ParseTime(RunTime1!I23),ParseTime(RunTime2!I23),ParseTime(RunTime3!I23),ParseTime(RunTime4!I23))</f>
        <v>1.1326963088541264</v>
      </c>
      <c r="T23" s="2">
        <f>AVERAGE(ParseTime(RunTime1!G23),ParseTime(RunTime2!G23),ParseTime(RunTime3!G23),ParseTime(RunTime4!G23))/AVERAGE(ParseTime(RunTime1!J23),ParseTime(RunTime2!J23),ParseTime(RunTime3!J23),ParseTime(RunTime4!J23))</f>
        <v>0.79130215872616283</v>
      </c>
      <c r="U23" t="s">
        <v>18</v>
      </c>
    </row>
    <row r="24" spans="1:21" x14ac:dyDescent="0.25">
      <c r="A24" t="s">
        <v>294</v>
      </c>
      <c r="B24" t="s">
        <v>150</v>
      </c>
      <c r="C24" t="s">
        <v>11</v>
      </c>
      <c r="D24" s="1">
        <v>193899</v>
      </c>
      <c r="E24">
        <v>2</v>
      </c>
      <c r="F24" t="str">
        <f>TEXT(AVERAGE(ParseTime(RunTime1!F24),ParseTime(RunTime2!F24),ParseTime(RunTime3!F24),ParseTime(RunTime4!F24))/86400,"mm""m ""ss.00""s""") &amp; " ± " &amp; TEXT(_xlfn.STDEV.S(ParseTime(RunTime1!F24),ParseTime(RunTime2!F24),ParseTime(RunTime3!F24),ParseTime(RunTime4!F24))/86400,"mm""m ""ss.00""s""")</f>
        <v>00m 07.12s ± 00m 00.69s</v>
      </c>
      <c r="G24" t="str">
        <f>TEXT(AVERAGE(ParseTime(RunTime1!G24),ParseTime(RunTime2!G24),ParseTime(RunTime3!G24),ParseTime(RunTime4!G24))/86400,"mm""m ""ss.00""s""") &amp; " ± " &amp; TEXT(_xlfn.STDEV.S(ParseTime(RunTime1!G24),ParseTime(RunTime2!G24),ParseTime(RunTime3!G24),ParseTime(RunTime4!G24))/86400,"mm""m ""ss.00""s""")</f>
        <v>00m 02.76s ± 00m 00.20s</v>
      </c>
      <c r="H24" t="str">
        <f>TEXT(AVERAGE(ParseTime(RunTime1!H24),ParseTime(RunTime2!H24),ParseTime(RunTime3!H24),ParseTime(RunTime4!H24))/86400,"mm""m ""ss.00""s""") &amp; " ± " &amp; TEXT(_xlfn.STDEV.S(ParseTime(RunTime1!H24),ParseTime(RunTime2!H24),ParseTime(RunTime3!H24),ParseTime(RunTime4!H24))/86400,"mm""m ""ss.00""s""")</f>
        <v>00m 02.47s ± 00m 00.56s</v>
      </c>
      <c r="I24" t="str">
        <f>TEXT(AVERAGE(ParseTime(RunTime1!I24),ParseTime(RunTime2!I24),ParseTime(RunTime3!I24),ParseTime(RunTime4!I24))/86400,"mm""m ""ss.00""s""") &amp; " ± " &amp; TEXT(_xlfn.STDEV.S(ParseTime(RunTime1!I24),ParseTime(RunTime2!I24),ParseTime(RunTime3!I24),ParseTime(RunTime4!I24))/86400,"mm""m ""ss.00""s""")</f>
        <v>00m 03.15s ± 00m 00.06s</v>
      </c>
      <c r="J24" t="str">
        <f>TEXT(AVERAGE(ParseTime(RunTime1!J24),ParseTime(RunTime2!J24),ParseTime(RunTime3!J24),ParseTime(RunTime4!J24))/86400,"mm""m ""ss.00""s""") &amp; " ± " &amp; TEXT(_xlfn.STDEV.S(ParseTime(RunTime1!J24),ParseTime(RunTime2!J24),ParseTime(RunTime3!J24),ParseTime(RunTime4!J24))/86400,"mm""m ""ss.00""s""")</f>
        <v>00m 03.81s ± 00m 00.71s</v>
      </c>
      <c r="K24" s="2">
        <f>AVERAGE(ParseTime(RunTime1!G24),ParseTime(RunTime2!G24),ParseTime(RunTime3!G24),ParseTime(RunTime4!G24))/AVERAGE(ParseTime(RunTime1!H24),ParseTime(RunTime2!H24),ParseTime(RunTime3!H24),ParseTime(RunTime4!H24))</f>
        <v>1.1198987341772151</v>
      </c>
      <c r="L24" s="2">
        <f>AVERAGE(ParseTime(RunTime1!F24),ParseTime(RunTime2!F24),ParseTime(RunTime3!F24),ParseTime(RunTime4!F24))
/
AVERAGE(ParseTime(RunTime1!G24),ParseTime(RunTime2!G24),ParseTime(RunTime3!G24),ParseTime(RunTime4!G24))</f>
        <v>2.5761822949633788</v>
      </c>
      <c r="M24" s="2">
        <f>AVERAGE(ParseTime(RunTime1!F24),ParseTime(RunTime2!F24),ParseTime(RunTime3!F24),ParseTime(RunTime4!F24))
/
AVERAGE(ParseTime(RunTime1!H24),ParseTime(RunTime2!H24),ParseTime(RunTime3!H24),ParseTime(RunTime4!H24))</f>
        <v>2.8850632911392409</v>
      </c>
      <c r="N24" s="2">
        <f>AVERAGE(ParseTime(RunTime1!I24),ParseTime(RunTime2!I24),ParseTime(RunTime3!I24),ParseTime(RunTime4!I24))/AVERAGE(ParseTime(RunTime1!J24),ParseTime(RunTime2!J24),ParseTime(RunTime3!J24),ParseTime(RunTime4!J24))</f>
        <v>0.82775590551181122</v>
      </c>
      <c r="O24" s="2">
        <f>AVERAGE(ParseTime(RunTime1!F24),ParseTime(RunTime2!F24),ParseTime(RunTime3!F24),ParseTime(RunTime4!F24))/AVERAGE(ParseTime(RunTime1!J24),ParseTime(RunTime2!J24),ParseTime(RunTime3!J24),ParseTime(RunTime4!J24))</f>
        <v>1.8694225721784781</v>
      </c>
      <c r="P24" s="2">
        <f>AVERAGE(ParseTime(RunTime1!F24),ParseTime(RunTime2!F24),ParseTime(RunTime3!F24),ParseTime(RunTime4!F24))/AVERAGE(ParseTime(RunTime1!I24),ParseTime(RunTime2!I24),ParseTime(RunTime3!I24),ParseTime(RunTime4!I24))</f>
        <v>2.2584225128814901</v>
      </c>
      <c r="Q24" s="2">
        <f>AVERAGE(ParseTime(RunTime1!H24),ParseTime(RunTime2!H24),ParseTime(RunTime3!H24),ParseTime(RunTime4!H24))/AVERAGE(ParseTime(RunTime1!J24),ParseTime(RunTime2!J24),ParseTime(RunTime3!J24),ParseTime(RunTime4!J24))</f>
        <v>0.64796587926509197</v>
      </c>
      <c r="R24" s="2">
        <f>AVERAGE(ParseTime(RunTime1!G24),ParseTime(RunTime2!G24),ParseTime(RunTime3!G24),ParseTime(RunTime4!G24))/AVERAGE(ParseTime(RunTime1!I24),ParseTime(RunTime2!I24),ParseTime(RunTime3!I24),ParseTime(RunTime4!I24))</f>
        <v>0.87665477606024556</v>
      </c>
      <c r="S24" s="2">
        <f>AVERAGE(ParseTime(RunTime1!H24),ParseTime(RunTime2!H24),ParseTime(RunTime3!H24),ParseTime(RunTime4!H24))/AVERAGE(ParseTime(RunTime1!I24),ParseTime(RunTime2!I24),ParseTime(RunTime3!I24),ParseTime(RunTime4!I24))</f>
        <v>0.78279825604439146</v>
      </c>
      <c r="T24" s="2">
        <f>AVERAGE(ParseTime(RunTime1!G24),ParseTime(RunTime2!G24),ParseTime(RunTime3!G24),ParseTime(RunTime4!G24))/AVERAGE(ParseTime(RunTime1!J24),ParseTime(RunTime2!J24),ParseTime(RunTime3!J24),ParseTime(RunTime4!J24))</f>
        <v>0.72565616797900268</v>
      </c>
      <c r="U24" t="s">
        <v>296</v>
      </c>
    </row>
    <row r="25" spans="1:21" x14ac:dyDescent="0.25">
      <c r="A25" t="s">
        <v>294</v>
      </c>
      <c r="B25" t="s">
        <v>150</v>
      </c>
      <c r="C25" t="s">
        <v>19</v>
      </c>
      <c r="D25" s="1">
        <v>191991</v>
      </c>
      <c r="E25">
        <v>2</v>
      </c>
      <c r="F25" t="str">
        <f>TEXT(AVERAGE(ParseTime(RunTime1!F25),ParseTime(RunTime2!F25),ParseTime(RunTime3!F25),ParseTime(RunTime4!F25))/86400,"mm""m ""ss.00""s""") &amp; " ± " &amp; TEXT(_xlfn.STDEV.S(ParseTime(RunTime1!F25),ParseTime(RunTime2!F25),ParseTime(RunTime3!F25),ParseTime(RunTime4!F25))/86400,"mm""m ""ss.00""s""")</f>
        <v>00m 05.68s ± 00m 00.32s</v>
      </c>
      <c r="G25" t="str">
        <f>TEXT(AVERAGE(ParseTime(RunTime1!G25),ParseTime(RunTime2!G25),ParseTime(RunTime3!G25),ParseTime(RunTime4!G25))/86400,"mm""m ""ss.00""s""") &amp; " ± " &amp; TEXT(_xlfn.STDEV.S(ParseTime(RunTime1!G25),ParseTime(RunTime2!G25),ParseTime(RunTime3!G25),ParseTime(RunTime4!G25))/86400,"mm""m ""ss.00""s""")</f>
        <v>00m 02.36s ± 00m 00.31s</v>
      </c>
      <c r="H25" t="str">
        <f>TEXT(AVERAGE(ParseTime(RunTime1!H25),ParseTime(RunTime2!H25),ParseTime(RunTime3!H25),ParseTime(RunTime4!H25))/86400,"mm""m ""ss.00""s""") &amp; " ± " &amp; TEXT(_xlfn.STDEV.S(ParseTime(RunTime1!H25),ParseTime(RunTime2!H25),ParseTime(RunTime3!H25),ParseTime(RunTime4!H25))/86400,"mm""m ""ss.00""s""")</f>
        <v>00m 03.63s ± 00m 00.76s</v>
      </c>
      <c r="I25" t="str">
        <f>TEXT(AVERAGE(ParseTime(RunTime1!I25),ParseTime(RunTime2!I25),ParseTime(RunTime3!I25),ParseTime(RunTime4!I25))/86400,"mm""m ""ss.00""s""") &amp; " ± " &amp; TEXT(_xlfn.STDEV.S(ParseTime(RunTime1!I25),ParseTime(RunTime2!I25),ParseTime(RunTime3!I25),ParseTime(RunTime4!I25))/86400,"mm""m ""ss.00""s""")</f>
        <v>00m 03.34s ± 00m 00.09s</v>
      </c>
      <c r="J25" t="str">
        <f>TEXT(AVERAGE(ParseTime(RunTime1!J25),ParseTime(RunTime2!J25),ParseTime(RunTime3!J25),ParseTime(RunTime4!J25))/86400,"mm""m ""ss.00""s""") &amp; " ± " &amp; TEXT(_xlfn.STDEV.S(ParseTime(RunTime1!J25),ParseTime(RunTime2!J25),ParseTime(RunTime3!J25),ParseTime(RunTime4!J25))/86400,"mm""m ""ss.00""s""")</f>
        <v>00m 04.44s ± 00m 01.15s</v>
      </c>
      <c r="K25" s="2">
        <f>AVERAGE(ParseTime(RunTime1!G25),ParseTime(RunTime2!G25),ParseTime(RunTime3!G25),ParseTime(RunTime4!G25))/AVERAGE(ParseTime(RunTime1!H25),ParseTime(RunTime2!H25),ParseTime(RunTime3!H25),ParseTime(RunTime4!H25))</f>
        <v>0.65198511166253104</v>
      </c>
      <c r="L25" s="2">
        <f>AVERAGE(ParseTime(RunTime1!F25),ParseTime(RunTime2!F25),ParseTime(RunTime3!F25),ParseTime(RunTime4!F25))
/
AVERAGE(ParseTime(RunTime1!G25),ParseTime(RunTime2!G25),ParseTime(RunTime3!G25),ParseTime(RunTime4!G25))</f>
        <v>2.4006766042922081</v>
      </c>
      <c r="M25" s="2">
        <f>AVERAGE(ParseTime(RunTime1!F25),ParseTime(RunTime2!F25),ParseTime(RunTime3!F25),ParseTime(RunTime4!F25))
/
AVERAGE(ParseTime(RunTime1!H25),ParseTime(RunTime2!H25),ParseTime(RunTime3!H25),ParseTime(RunTime4!H25))</f>
        <v>1.5652054039150811</v>
      </c>
      <c r="N25" s="2">
        <f>AVERAGE(ParseTime(RunTime1!I25),ParseTime(RunTime2!I25),ParseTime(RunTime3!I25),ParseTime(RunTime4!I25))/AVERAGE(ParseTime(RunTime1!J25),ParseTime(RunTime2!J25),ParseTime(RunTime3!J25),ParseTime(RunTime4!J25))</f>
        <v>0.75281785392245271</v>
      </c>
      <c r="O25" s="2">
        <f>AVERAGE(ParseTime(RunTime1!F25),ParseTime(RunTime2!F25),ParseTime(RunTime3!F25),ParseTime(RunTime4!F25))/AVERAGE(ParseTime(RunTime1!J25),ParseTime(RunTime2!J25),ParseTime(RunTime3!J25),ParseTime(RunTime4!J25))</f>
        <v>1.2797565374211</v>
      </c>
      <c r="P25" s="2">
        <f>AVERAGE(ParseTime(RunTime1!F25),ParseTime(RunTime2!F25),ParseTime(RunTime3!F25),ParseTime(RunTime4!F25))/AVERAGE(ParseTime(RunTime1!I25),ParseTime(RunTime2!I25),ParseTime(RunTime3!I25),ParseTime(RunTime4!I25))</f>
        <v>1.6999550830962717</v>
      </c>
      <c r="Q25" s="2">
        <f>AVERAGE(ParseTime(RunTime1!H25),ParseTime(RunTime2!H25),ParseTime(RunTime3!H25),ParseTime(RunTime4!H25))/AVERAGE(ParseTime(RunTime1!J25),ParseTime(RunTime2!J25),ParseTime(RunTime3!J25),ParseTime(RunTime4!J25))</f>
        <v>0.81762849413886385</v>
      </c>
      <c r="R25" s="2">
        <f>AVERAGE(ParseTime(RunTime1!G25),ParseTime(RunTime2!G25),ParseTime(RunTime3!G25),ParseTime(RunTime4!G25))/AVERAGE(ParseTime(RunTime1!I25),ParseTime(RunTime2!I25),ParseTime(RunTime3!I25),ParseTime(RunTime4!I25))</f>
        <v>0.70811498727354405</v>
      </c>
      <c r="S25" s="2">
        <f>AVERAGE(ParseTime(RunTime1!H25),ParseTime(RunTime2!H25),ParseTime(RunTime3!H25),ParseTime(RunTime4!H25))/AVERAGE(ParseTime(RunTime1!I25),ParseTime(RunTime2!I25),ParseTime(RunTime3!I25),ParseTime(RunTime4!I25))</f>
        <v>1.0860907321455309</v>
      </c>
      <c r="T25" s="2">
        <f>AVERAGE(ParseTime(RunTime1!G25),ParseTime(RunTime2!G25),ParseTime(RunTime3!G25),ParseTime(RunTime4!G25))/AVERAGE(ParseTime(RunTime1!J25),ParseTime(RunTime2!J25),ParseTime(RunTime3!J25),ParseTime(RunTime4!J25))</f>
        <v>0.53308160504959434</v>
      </c>
      <c r="U25" t="s">
        <v>18</v>
      </c>
    </row>
    <row r="26" spans="1:21" x14ac:dyDescent="0.25">
      <c r="A26" t="s">
        <v>294</v>
      </c>
      <c r="B26" t="s">
        <v>162</v>
      </c>
      <c r="C26" t="s">
        <v>11</v>
      </c>
      <c r="D26" s="1">
        <v>159967</v>
      </c>
      <c r="E26">
        <v>2</v>
      </c>
      <c r="F26" t="str">
        <f>TEXT(AVERAGE(ParseTime(RunTime1!F26),ParseTime(RunTime2!F26),ParseTime(RunTime3!F26),ParseTime(RunTime4!F26))/86400,"mm""m ""ss.00""s""") &amp; " ± " &amp; TEXT(_xlfn.STDEV.S(ParseTime(RunTime1!F26),ParseTime(RunTime2!F26),ParseTime(RunTime3!F26),ParseTime(RunTime4!F26))/86400,"mm""m ""ss.00""s""")</f>
        <v>09m 18.98s ± 00m 32.61s</v>
      </c>
      <c r="G26" t="str">
        <f>TEXT(AVERAGE(ParseTime(RunTime1!G26),ParseTime(RunTime2!G26),ParseTime(RunTime3!G26),ParseTime(RunTime4!G26))/86400,"mm""m ""ss.00""s""") &amp; " ± " &amp; TEXT(_xlfn.STDEV.S(ParseTime(RunTime1!G26),ParseTime(RunTime2!G26),ParseTime(RunTime3!G26),ParseTime(RunTime4!G26))/86400,"mm""m ""ss.00""s""")</f>
        <v>00m 02.20s ± 00m 00.28s</v>
      </c>
      <c r="H26" t="str">
        <f>TEXT(AVERAGE(ParseTime(RunTime1!H26),ParseTime(RunTime2!H26),ParseTime(RunTime3!H26),ParseTime(RunTime4!H26))/86400,"mm""m ""ss.00""s""") &amp; " ± " &amp; TEXT(_xlfn.STDEV.S(ParseTime(RunTime1!H26),ParseTime(RunTime2!H26),ParseTime(RunTime3!H26),ParseTime(RunTime4!H26))/86400,"mm""m ""ss.00""s""")</f>
        <v>00m 03.19s ± 00m 01.97s</v>
      </c>
      <c r="I26" t="str">
        <f>TEXT(AVERAGE(ParseTime(RunTime1!I26),ParseTime(RunTime2!I26),ParseTime(RunTime3!I26),ParseTime(RunTime4!I26))/86400,"mm""m ""ss.00""s""") &amp; " ± " &amp; TEXT(_xlfn.STDEV.S(ParseTime(RunTime1!I26),ParseTime(RunTime2!I26),ParseTime(RunTime3!I26),ParseTime(RunTime4!I26))/86400,"mm""m ""ss.00""s""")</f>
        <v>00m 02.93s ± 00m 00.10s</v>
      </c>
      <c r="J26" t="str">
        <f>TEXT(AVERAGE(ParseTime(RunTime1!J26),ParseTime(RunTime2!J26),ParseTime(RunTime3!J26),ParseTime(RunTime4!J26))/86400,"mm""m ""ss.00""s""") &amp; " ± " &amp; TEXT(_xlfn.STDEV.S(ParseTime(RunTime1!J26),ParseTime(RunTime2!J26),ParseTime(RunTime3!J26),ParseTime(RunTime4!J26))/86400,"mm""m ""ss.00""s""")</f>
        <v>00m 03.45s ± 00m 00.65s</v>
      </c>
      <c r="K26" s="2">
        <f>AVERAGE(ParseTime(RunTime1!G26),ParseTime(RunTime2!G26),ParseTime(RunTime3!G26),ParseTime(RunTime4!G26))/AVERAGE(ParseTime(RunTime1!H26),ParseTime(RunTime2!H26),ParseTime(RunTime3!H26),ParseTime(RunTime4!H26))</f>
        <v>0.69076368198212323</v>
      </c>
      <c r="L26" s="2">
        <f>AVERAGE(ParseTime(RunTime1!F26),ParseTime(RunTime2!F26),ParseTime(RunTime3!F26),ParseTime(RunTime4!F26))
/
AVERAGE(ParseTime(RunTime1!G26),ParseTime(RunTime2!G26),ParseTime(RunTime3!G26),ParseTime(RunTime4!G26))</f>
        <v>253.79250851305338</v>
      </c>
      <c r="M26" s="2">
        <f>AVERAGE(ParseTime(RunTime1!F26),ParseTime(RunTime2!F26),ParseTime(RunTime3!F26),ParseTime(RunTime4!F26))
/
AVERAGE(ParseTime(RunTime1!H26),ParseTime(RunTime2!H26),ParseTime(RunTime3!H26),ParseTime(RunTime4!H26))</f>
        <v>175.3106476399561</v>
      </c>
      <c r="N26" s="2">
        <f>AVERAGE(ParseTime(RunTime1!I26),ParseTime(RunTime2!I26),ParseTime(RunTime3!I26),ParseTime(RunTime4!I26))/AVERAGE(ParseTime(RunTime1!J26),ParseTime(RunTime2!J26),ParseTime(RunTime3!J26),ParseTime(RunTime4!J26))</f>
        <v>0.85132781889420983</v>
      </c>
      <c r="O26" s="2">
        <f>AVERAGE(ParseTime(RunTime1!F26),ParseTime(RunTime2!F26),ParseTime(RunTime3!F26),ParseTime(RunTime4!F26))/AVERAGE(ParseTime(RunTime1!J26),ParseTime(RunTime2!J26),ParseTime(RunTime3!J26),ParseTime(RunTime4!J26))</f>
        <v>162.23421854592948</v>
      </c>
      <c r="P26" s="2">
        <f>AVERAGE(ParseTime(RunTime1!F26),ParseTime(RunTime2!F26),ParseTime(RunTime3!F26),ParseTime(RunTime4!F26))/AVERAGE(ParseTime(RunTime1!I26),ParseTime(RunTime2!I26),ParseTime(RunTime3!I26),ParseTime(RunTime4!I26))</f>
        <v>190.56609562771672</v>
      </c>
      <c r="Q26" s="2">
        <f>AVERAGE(ParseTime(RunTime1!H26),ParseTime(RunTime2!H26),ParseTime(RunTime3!H26),ParseTime(RunTime4!H26))/AVERAGE(ParseTime(RunTime1!J26),ParseTime(RunTime2!J26),ParseTime(RunTime3!J26),ParseTime(RunTime4!J26))</f>
        <v>0.9254099550137862</v>
      </c>
      <c r="R26" s="2">
        <f>AVERAGE(ParseTime(RunTime1!G26),ParseTime(RunTime2!G26),ParseTime(RunTime3!G26),ParseTime(RunTime4!G26))/AVERAGE(ParseTime(RunTime1!I26),ParseTime(RunTime2!I26),ParseTime(RunTime3!I26),ParseTime(RunTime4!I26))</f>
        <v>0.75087360436376038</v>
      </c>
      <c r="S26" s="2">
        <f>AVERAGE(ParseTime(RunTime1!H26),ParseTime(RunTime2!H26),ParseTime(RunTime3!H26),ParseTime(RunTime4!H26))/AVERAGE(ParseTime(RunTime1!I26),ParseTime(RunTime2!I26),ParseTime(RunTime3!I26),ParseTime(RunTime4!I26))</f>
        <v>1.087019517599932</v>
      </c>
      <c r="T26" s="2">
        <f>AVERAGE(ParseTime(RunTime1!G26),ParseTime(RunTime2!G26),ParseTime(RunTime3!G26),ParseTime(RunTime4!G26))/AVERAGE(ParseTime(RunTime1!J26),ParseTime(RunTime2!J26),ParseTime(RunTime3!J26),ParseTime(RunTime4!J26))</f>
        <v>0.63923958786823398</v>
      </c>
      <c r="U26" t="s">
        <v>18</v>
      </c>
    </row>
    <row r="27" spans="1:21" x14ac:dyDescent="0.25">
      <c r="A27" t="s">
        <v>294</v>
      </c>
      <c r="B27" t="s">
        <v>162</v>
      </c>
      <c r="C27" t="s">
        <v>19</v>
      </c>
      <c r="D27" s="1">
        <v>159427</v>
      </c>
      <c r="E27">
        <v>2</v>
      </c>
      <c r="F27" t="str">
        <f>TEXT(AVERAGE(ParseTime(RunTime1!F27),ParseTime(RunTime2!F27),ParseTime(RunTime3!F27),ParseTime(RunTime4!F27))/86400,"mm""m ""ss.00""s""") &amp; " ± " &amp; TEXT(_xlfn.STDEV.S(ParseTime(RunTime1!F27),ParseTime(RunTime2!F27),ParseTime(RunTime3!F27),ParseTime(RunTime4!F27))/86400,"mm""m ""ss.00""s""")</f>
        <v>09m 27.07s ± 00m 28.70s</v>
      </c>
      <c r="G27" t="str">
        <f>TEXT(AVERAGE(ParseTime(RunTime1!G27),ParseTime(RunTime2!G27),ParseTime(RunTime3!G27),ParseTime(RunTime4!G27))/86400,"mm""m ""ss.00""s""") &amp; " ± " &amp; TEXT(_xlfn.STDEV.S(ParseTime(RunTime1!G27),ParseTime(RunTime2!G27),ParseTime(RunTime3!G27),ParseTime(RunTime4!G27))/86400,"mm""m ""ss.00""s""")</f>
        <v>00m 01.86s ± 00m 00.07s</v>
      </c>
      <c r="H27" t="str">
        <f>TEXT(AVERAGE(ParseTime(RunTime1!H27),ParseTime(RunTime2!H27),ParseTime(RunTime3!H27),ParseTime(RunTime4!H27))/86400,"mm""m ""ss.00""s""") &amp; " ± " &amp; TEXT(_xlfn.STDEV.S(ParseTime(RunTime1!H27),ParseTime(RunTime2!H27),ParseTime(RunTime3!H27),ParseTime(RunTime4!H27))/86400,"mm""m ""ss.00""s""")</f>
        <v>00m 04.24s ± 00m 00.96s</v>
      </c>
      <c r="I27" t="str">
        <f>TEXT(AVERAGE(ParseTime(RunTime1!I27),ParseTime(RunTime2!I27),ParseTime(RunTime3!I27),ParseTime(RunTime4!I27))/86400,"mm""m ""ss.00""s""") &amp; " ± " &amp; TEXT(_xlfn.STDEV.S(ParseTime(RunTime1!I27),ParseTime(RunTime2!I27),ParseTime(RunTime3!I27),ParseTime(RunTime4!I27))/86400,"mm""m ""ss.00""s""")</f>
        <v>00m 02.97s ± 00m 00.07s</v>
      </c>
      <c r="J27" t="str">
        <f>TEXT(AVERAGE(ParseTime(RunTime1!J27),ParseTime(RunTime2!J27),ParseTime(RunTime3!J27),ParseTime(RunTime4!J27))/86400,"mm""m ""ss.00""s""") &amp; " ± " &amp; TEXT(_xlfn.STDEV.S(ParseTime(RunTime1!J27),ParseTime(RunTime2!J27),ParseTime(RunTime3!J27),ParseTime(RunTime4!J27))/86400,"mm""m ""ss.00""s""")</f>
        <v>00m 03.05s ± 00m 00.08s</v>
      </c>
      <c r="K27" s="2">
        <f>AVERAGE(ParseTime(RunTime1!G27),ParseTime(RunTime2!G27),ParseTime(RunTime3!G27),ParseTime(RunTime4!G27))/AVERAGE(ParseTime(RunTime1!H27),ParseTime(RunTime2!H27),ParseTime(RunTime3!H27),ParseTime(RunTime4!H27))</f>
        <v>0.43869370431502008</v>
      </c>
      <c r="L27" s="2">
        <f>AVERAGE(ParseTime(RunTime1!F27),ParseTime(RunTime2!F27),ParseTime(RunTime3!F27),ParseTime(RunTime4!F27))
/
AVERAGE(ParseTime(RunTime1!G27),ParseTime(RunTime2!G27),ParseTime(RunTime3!G27),ParseTime(RunTime4!G27))</f>
        <v>304.79615694705723</v>
      </c>
      <c r="M27" s="2">
        <f>AVERAGE(ParseTime(RunTime1!F27),ParseTime(RunTime2!F27),ParseTime(RunTime3!F27),ParseTime(RunTime4!F27))
/
AVERAGE(ParseTime(RunTime1!H27),ParseTime(RunTime2!H27),ParseTime(RunTime3!H27),ParseTime(RunTime4!H27))</f>
        <v>133.71215515208678</v>
      </c>
      <c r="N27" s="2">
        <f>AVERAGE(ParseTime(RunTime1!I27),ParseTime(RunTime2!I27),ParseTime(RunTime3!I27),ParseTime(RunTime4!I27))/AVERAGE(ParseTime(RunTime1!J27),ParseTime(RunTime2!J27),ParseTime(RunTime3!J27),ParseTime(RunTime4!J27))</f>
        <v>0.97399934383202103</v>
      </c>
      <c r="O27" s="2">
        <f>AVERAGE(ParseTime(RunTime1!F27),ParseTime(RunTime2!F27),ParseTime(RunTime3!F27),ParseTime(RunTime4!F27))/AVERAGE(ParseTime(RunTime1!J27),ParseTime(RunTime2!J27),ParseTime(RunTime3!J27),ParseTime(RunTime4!J27))</f>
        <v>186.04765419947506</v>
      </c>
      <c r="P27" s="2">
        <f>AVERAGE(ParseTime(RunTime1!F27),ParseTime(RunTime2!F27),ParseTime(RunTime3!F27),ParseTime(RunTime4!F27))/AVERAGE(ParseTime(RunTime1!I27),ParseTime(RunTime2!I27),ParseTime(RunTime3!I27),ParseTime(RunTime4!I27))</f>
        <v>191.01414736842105</v>
      </c>
      <c r="Q27" s="2">
        <f>AVERAGE(ParseTime(RunTime1!H27),ParseTime(RunTime2!H27),ParseTime(RunTime3!H27),ParseTime(RunTime4!H27))/AVERAGE(ParseTime(RunTime1!J27),ParseTime(RunTime2!J27),ParseTime(RunTime3!J27),ParseTime(RunTime4!J27))</f>
        <v>1.3914041994750654</v>
      </c>
      <c r="R27" s="2">
        <f>AVERAGE(ParseTime(RunTime1!G27),ParseTime(RunTime2!G27),ParseTime(RunTime3!G27),ParseTime(RunTime4!G27))/AVERAGE(ParseTime(RunTime1!I27),ParseTime(RunTime2!I27),ParseTime(RunTime3!I27),ParseTime(RunTime4!I27))</f>
        <v>0.6266947368421053</v>
      </c>
      <c r="S27" s="2">
        <f>AVERAGE(ParseTime(RunTime1!H27),ParseTime(RunTime2!H27),ParseTime(RunTime3!H27),ParseTime(RunTime4!H27))/AVERAGE(ParseTime(RunTime1!I27),ParseTime(RunTime2!I27),ParseTime(RunTime3!I27),ParseTime(RunTime4!I27))</f>
        <v>1.4285473684210526</v>
      </c>
      <c r="T27" s="2">
        <f>AVERAGE(ParseTime(RunTime1!G27),ParseTime(RunTime2!G27),ParseTime(RunTime3!G27),ParseTime(RunTime4!G27))/AVERAGE(ParseTime(RunTime1!J27),ParseTime(RunTime2!J27),ParseTime(RunTime3!J27),ParseTime(RunTime4!J27))</f>
        <v>0.61040026246719159</v>
      </c>
      <c r="U27" t="s">
        <v>18</v>
      </c>
    </row>
    <row r="28" spans="1:21" x14ac:dyDescent="0.25">
      <c r="A28" t="s">
        <v>294</v>
      </c>
      <c r="B28" t="s">
        <v>174</v>
      </c>
      <c r="C28" t="s">
        <v>11</v>
      </c>
      <c r="D28" s="1">
        <v>128463</v>
      </c>
      <c r="E28">
        <v>2</v>
      </c>
      <c r="F28" t="str">
        <f>TEXT(AVERAGE(ParseTime(RunTime1!F28),ParseTime(RunTime2!F28),ParseTime(RunTime3!F28),ParseTime(RunTime4!F28))/86400,"mm""m ""ss.00""s""") &amp; " ± " &amp; TEXT(_xlfn.STDEV.S(ParseTime(RunTime1!F28),ParseTime(RunTime2!F28),ParseTime(RunTime3!F28),ParseTime(RunTime4!F28))/86400,"mm""m ""ss.00""s""")</f>
        <v>09m 23.71s ± 00m 28.24s</v>
      </c>
      <c r="G28" t="str">
        <f>TEXT(AVERAGE(ParseTime(RunTime1!G28),ParseTime(RunTime2!G28),ParseTime(RunTime3!G28),ParseTime(RunTime4!G28))/86400,"mm""m ""ss.00""s""") &amp; " ± " &amp; TEXT(_xlfn.STDEV.S(ParseTime(RunTime1!G28),ParseTime(RunTime2!G28),ParseTime(RunTime3!G28),ParseTime(RunTime4!G28))/86400,"mm""m ""ss.00""s""")</f>
        <v>00m 02.34s ± 00m 00.56s</v>
      </c>
      <c r="H28" t="str">
        <f>TEXT(AVERAGE(ParseTime(RunTime1!H28),ParseTime(RunTime2!H28),ParseTime(RunTime3!H28),ParseTime(RunTime4!H28))/86400,"mm""m ""ss.00""s""") &amp; " ± " &amp; TEXT(_xlfn.STDEV.S(ParseTime(RunTime1!H28),ParseTime(RunTime2!H28),ParseTime(RunTime3!H28),ParseTime(RunTime4!H28))/86400,"mm""m ""ss.00""s""")</f>
        <v>00m 02.87s ± 00m 01.41s</v>
      </c>
      <c r="I28" t="str">
        <f>TEXT(AVERAGE(ParseTime(RunTime1!I28),ParseTime(RunTime2!I28),ParseTime(RunTime3!I28),ParseTime(RunTime4!I28))/86400,"mm""m ""ss.00""s""") &amp; " ± " &amp; TEXT(_xlfn.STDEV.S(ParseTime(RunTime1!I28),ParseTime(RunTime2!I28),ParseTime(RunTime3!I28),ParseTime(RunTime4!I28))/86400,"mm""m ""ss.00""s""")</f>
        <v>00m 03.32s ± 00m 00.53s</v>
      </c>
      <c r="J28" t="str">
        <f>TEXT(AVERAGE(ParseTime(RunTime1!J28),ParseTime(RunTime2!J28),ParseTime(RunTime3!J28),ParseTime(RunTime4!J28))/86400,"mm""m ""ss.00""s""") &amp; " ± " &amp; TEXT(_xlfn.STDEV.S(ParseTime(RunTime1!J28),ParseTime(RunTime2!J28),ParseTime(RunTime3!J28),ParseTime(RunTime4!J28))/86400,"mm""m ""ss.00""s""")</f>
        <v>00m 02.94s ± 00m 00.17s</v>
      </c>
      <c r="K28" s="2">
        <f>AVERAGE(ParseTime(RunTime1!G28),ParseTime(RunTime2!G28),ParseTime(RunTime3!G28),ParseTime(RunTime4!G28))/AVERAGE(ParseTime(RunTime1!H28),ParseTime(RunTime2!H28),ParseTime(RunTime3!H28),ParseTime(RunTime4!H28))</f>
        <v>0.81711145996860268</v>
      </c>
      <c r="L28" s="2">
        <f>AVERAGE(ParseTime(RunTime1!F28),ParseTime(RunTime2!F28),ParseTime(RunTime3!F28),ParseTime(RunTime4!F28))
/
AVERAGE(ParseTime(RunTime1!G28),ParseTime(RunTime2!G28),ParseTime(RunTime3!G28),ParseTime(RunTime4!G28))</f>
        <v>240.67018892090937</v>
      </c>
      <c r="M28" s="2">
        <f>AVERAGE(ParseTime(RunTime1!F28),ParseTime(RunTime2!F28),ParseTime(RunTime3!F28),ParseTime(RunTime4!F28))
/
AVERAGE(ParseTime(RunTime1!H28),ParseTime(RunTime2!H28),ParseTime(RunTime3!H28),ParseTime(RunTime4!H28))</f>
        <v>196.65436944008371</v>
      </c>
      <c r="N28" s="2">
        <f>AVERAGE(ParseTime(RunTime1!I28),ParseTime(RunTime2!I28),ParseTime(RunTime3!I28),ParseTime(RunTime4!I28))/AVERAGE(ParseTime(RunTime1!J28),ParseTime(RunTime2!J28),ParseTime(RunTime3!J28),ParseTime(RunTime4!J28))</f>
        <v>1.1291748109118722</v>
      </c>
      <c r="O28" s="2">
        <f>AVERAGE(ParseTime(RunTime1!F28),ParseTime(RunTime2!F28),ParseTime(RunTime3!F28),ParseTime(RunTime4!F28))/AVERAGE(ParseTime(RunTime1!J28),ParseTime(RunTime2!J28),ParseTime(RunTime3!J28),ParseTime(RunTime4!J28))</f>
        <v>191.62394833007565</v>
      </c>
      <c r="P28" s="2">
        <f>AVERAGE(ParseTime(RunTime1!F28),ParseTime(RunTime2!F28),ParseTime(RunTime3!F28),ParseTime(RunTime4!F28))/AVERAGE(ParseTime(RunTime1!I28),ParseTime(RunTime2!I28),ParseTime(RunTime3!I28),ParseTime(RunTime4!I28))</f>
        <v>169.70264167983746</v>
      </c>
      <c r="Q28" s="2">
        <f>AVERAGE(ParseTime(RunTime1!H28),ParseTime(RunTime2!H28),ParseTime(RunTime3!H28),ParseTime(RunTime4!H28))/AVERAGE(ParseTime(RunTime1!J28),ParseTime(RunTime2!J28),ParseTime(RunTime3!J28),ParseTime(RunTime4!J28))</f>
        <v>0.97441998810232022</v>
      </c>
      <c r="R28" s="2">
        <f>AVERAGE(ParseTime(RunTime1!G28),ParseTime(RunTime2!G28),ParseTime(RunTime3!G28),ParseTime(RunTime4!G28))/AVERAGE(ParseTime(RunTime1!I28),ParseTime(RunTime2!I28),ParseTime(RunTime3!I28),ParseTime(RunTime4!I28))</f>
        <v>0.70512531045382709</v>
      </c>
      <c r="S28" s="2">
        <f>AVERAGE(ParseTime(RunTime1!H28),ParseTime(RunTime2!H28),ParseTime(RunTime3!H28),ParseTime(RunTime4!H28))/AVERAGE(ParseTime(RunTime1!I28),ParseTime(RunTime2!I28),ParseTime(RunTime3!I28),ParseTime(RunTime4!I28))</f>
        <v>0.86294874689546186</v>
      </c>
      <c r="T28" s="2">
        <f>AVERAGE(ParseTime(RunTime1!G28),ParseTime(RunTime2!G28),ParseTime(RunTime3!G28),ParseTime(RunTime4!G28))/AVERAGE(ParseTime(RunTime1!J28),ParseTime(RunTime2!J28),ParseTime(RunTime3!J28),ParseTime(RunTime4!J28))</f>
        <v>0.79620973910087534</v>
      </c>
      <c r="U28" t="s">
        <v>18</v>
      </c>
    </row>
    <row r="29" spans="1:21" x14ac:dyDescent="0.25">
      <c r="A29" t="s">
        <v>294</v>
      </c>
      <c r="B29" t="s">
        <v>174</v>
      </c>
      <c r="C29" t="s">
        <v>19</v>
      </c>
      <c r="D29" s="1">
        <v>128992</v>
      </c>
      <c r="E29">
        <v>2</v>
      </c>
      <c r="F29" t="str">
        <f>TEXT(AVERAGE(ParseTime(RunTime1!F29),ParseTime(RunTime2!F29),ParseTime(RunTime3!F29),ParseTime(RunTime4!F29))/86400,"mm""m ""ss.00""s""") &amp; " ± " &amp; TEXT(_xlfn.STDEV.S(ParseTime(RunTime1!F29),ParseTime(RunTime2!F29),ParseTime(RunTime3!F29),ParseTime(RunTime4!F29))/86400,"mm""m ""ss.00""s""")</f>
        <v>09m 30.49s ± 00m 28.06s</v>
      </c>
      <c r="G29" t="str">
        <f>TEXT(AVERAGE(ParseTime(RunTime1!G29),ParseTime(RunTime2!G29),ParseTime(RunTime3!G29),ParseTime(RunTime4!G29))/86400,"mm""m ""ss.00""s""") &amp; " ± " &amp; TEXT(_xlfn.STDEV.S(ParseTime(RunTime1!G29),ParseTime(RunTime2!G29),ParseTime(RunTime3!G29),ParseTime(RunTime4!G29))/86400,"mm""m ""ss.00""s""")</f>
        <v>00m 02.63s ± 00m 00.66s</v>
      </c>
      <c r="H29" t="str">
        <f>TEXT(AVERAGE(ParseTime(RunTime1!H29),ParseTime(RunTime2!H29),ParseTime(RunTime3!H29),ParseTime(RunTime4!H29))/86400,"mm""m ""ss.00""s""") &amp; " ± " &amp; TEXT(_xlfn.STDEV.S(ParseTime(RunTime1!H29),ParseTime(RunTime2!H29),ParseTime(RunTime3!H29),ParseTime(RunTime4!H29))/86400,"mm""m ""ss.00""s""")</f>
        <v>00m 01.76s ± 00m 00.07s</v>
      </c>
      <c r="I29" t="str">
        <f>TEXT(AVERAGE(ParseTime(RunTime1!I29),ParseTime(RunTime2!I29),ParseTime(RunTime3!I29),ParseTime(RunTime4!I29))/86400,"mm""m ""ss.00""s""") &amp; " ± " &amp; TEXT(_xlfn.STDEV.S(ParseTime(RunTime1!I29),ParseTime(RunTime2!I29),ParseTime(RunTime3!I29),ParseTime(RunTime4!I29))/86400,"mm""m ""ss.00""s""")</f>
        <v>00m 03.00s ± 00m 00.40s</v>
      </c>
      <c r="J29" t="str">
        <f>TEXT(AVERAGE(ParseTime(RunTime1!J29),ParseTime(RunTime2!J29),ParseTime(RunTime3!J29),ParseTime(RunTime4!J29))/86400,"mm""m ""ss.00""s""") &amp; " ± " &amp; TEXT(_xlfn.STDEV.S(ParseTime(RunTime1!J29),ParseTime(RunTime2!J29),ParseTime(RunTime3!J29),ParseTime(RunTime4!J29))/86400,"mm""m ""ss.00""s""")</f>
        <v>00m 03.66s ± 00m 00.58s</v>
      </c>
      <c r="K29" s="2">
        <f>AVERAGE(ParseTime(RunTime1!G29),ParseTime(RunTime2!G29),ParseTime(RunTime3!G29),ParseTime(RunTime4!G29))/AVERAGE(ParseTime(RunTime1!H29),ParseTime(RunTime2!H29),ParseTime(RunTime3!H29),ParseTime(RunTime4!H29))</f>
        <v>1.4958736482640866</v>
      </c>
      <c r="L29" s="2">
        <f>AVERAGE(ParseTime(RunTime1!F29),ParseTime(RunTime2!F29),ParseTime(RunTime3!F29),ParseTime(RunTime4!F29))
/
AVERAGE(ParseTime(RunTime1!G29),ParseTime(RunTime2!G29),ParseTime(RunTime3!G29),ParseTime(RunTime4!G29))</f>
        <v>217.06011604679921</v>
      </c>
      <c r="M29" s="2">
        <f>AVERAGE(ParseTime(RunTime1!F29),ParseTime(RunTime2!F29),ParseTime(RunTime3!F29),ParseTime(RunTime4!F29))
/
AVERAGE(ParseTime(RunTime1!H29),ParseTime(RunTime2!H29),ParseTime(RunTime3!H29),ParseTime(RunTime4!H29))</f>
        <v>324.69450768355154</v>
      </c>
      <c r="N29" s="2">
        <f>AVERAGE(ParseTime(RunTime1!I29),ParseTime(RunTime2!I29),ParseTime(RunTime3!I29),ParseTime(RunTime4!I29))/AVERAGE(ParseTime(RunTime1!J29),ParseTime(RunTime2!J29),ParseTime(RunTime3!J29),ParseTime(RunTime4!J29))</f>
        <v>0.82062504274088754</v>
      </c>
      <c r="O29" s="2">
        <f>AVERAGE(ParseTime(RunTime1!F29),ParseTime(RunTime2!F29),ParseTime(RunTime3!F29),ParseTime(RunTime4!F29))/AVERAGE(ParseTime(RunTime1!J29),ParseTime(RunTime2!J29),ParseTime(RunTime3!J29),ParseTime(RunTime4!J29))</f>
        <v>156.05231484647473</v>
      </c>
      <c r="P29" s="2">
        <f>AVERAGE(ParseTime(RunTime1!F29),ParseTime(RunTime2!F29),ParseTime(RunTime3!F29),ParseTime(RunTime4!F29))/AVERAGE(ParseTime(RunTime1!I29),ParseTime(RunTime2!I29),ParseTime(RunTime3!I29),ParseTime(RunTime4!I29))</f>
        <v>190.16274999999999</v>
      </c>
      <c r="Q29" s="2">
        <f>AVERAGE(ParseTime(RunTime1!H29),ParseTime(RunTime2!H29),ParseTime(RunTime3!H29),ParseTime(RunTime4!H29))/AVERAGE(ParseTime(RunTime1!J29),ParseTime(RunTime2!J29),ParseTime(RunTime3!J29),ParseTime(RunTime4!J29))</f>
        <v>0.48061273336524646</v>
      </c>
      <c r="R29" s="2">
        <f>AVERAGE(ParseTime(RunTime1!G29),ParseTime(RunTime2!G29),ParseTime(RunTime3!G29),ParseTime(RunTime4!G29))/AVERAGE(ParseTime(RunTime1!I29),ParseTime(RunTime2!I29),ParseTime(RunTime3!I29),ParseTime(RunTime4!I29))</f>
        <v>0.87608333333333333</v>
      </c>
      <c r="S29" s="2">
        <f>AVERAGE(ParseTime(RunTime1!H29),ParseTime(RunTime2!H29),ParseTime(RunTime3!H29),ParseTime(RunTime4!H29))/AVERAGE(ParseTime(RunTime1!I29),ParseTime(RunTime2!I29),ParseTime(RunTime3!I29),ParseTime(RunTime4!I29))</f>
        <v>0.58566666666666667</v>
      </c>
      <c r="T29" s="2">
        <f>AVERAGE(ParseTime(RunTime1!G29),ParseTime(RunTime2!G29),ParseTime(RunTime3!G29),ParseTime(RunTime4!G29))/AVERAGE(ParseTime(RunTime1!J29),ParseTime(RunTime2!J29),ParseTime(RunTime3!J29),ParseTime(RunTime4!J29))</f>
        <v>0.71893592286124597</v>
      </c>
      <c r="U29" t="s">
        <v>18</v>
      </c>
    </row>
    <row r="30" spans="1:21" x14ac:dyDescent="0.25">
      <c r="A30" t="s">
        <v>294</v>
      </c>
      <c r="B30" t="s">
        <v>187</v>
      </c>
      <c r="C30" t="s">
        <v>11</v>
      </c>
      <c r="D30" s="1">
        <v>123182</v>
      </c>
      <c r="E30">
        <v>2</v>
      </c>
      <c r="F30" t="str">
        <f>TEXT(AVERAGE(ParseTime(RunTime1!F30),ParseTime(RunTime2!F30),ParseTime(RunTime3!F30),ParseTime(RunTime4!F30))/86400,"mm""m ""ss.00""s""") &amp; " ± " &amp; TEXT(_xlfn.STDEV.S(ParseTime(RunTime1!F30),ParseTime(RunTime2!F30),ParseTime(RunTime3!F30),ParseTime(RunTime4!F30))/86400,"mm""m ""ss.00""s""")</f>
        <v>10m 45.32s ± 00m 25.67s</v>
      </c>
      <c r="G30" t="str">
        <f>TEXT(AVERAGE(ParseTime(RunTime1!G30),ParseTime(RunTime2!G30),ParseTime(RunTime3!G30),ParseTime(RunTime4!G30))/86400,"mm""m ""ss.00""s""") &amp; " ± " &amp; TEXT(_xlfn.STDEV.S(ParseTime(RunTime1!G30),ParseTime(RunTime2!G30),ParseTime(RunTime3!G30),ParseTime(RunTime4!G30))/86400,"mm""m ""ss.00""s""")</f>
        <v>00m 02.81s ± 00m 00.61s</v>
      </c>
      <c r="H30" t="str">
        <f>TEXT(AVERAGE(ParseTime(RunTime1!H30),ParseTime(RunTime2!H30),ParseTime(RunTime3!H30),ParseTime(RunTime4!H30))/86400,"mm""m ""ss.00""s""") &amp; " ± " &amp; TEXT(_xlfn.STDEV.S(ParseTime(RunTime1!H30),ParseTime(RunTime2!H30),ParseTime(RunTime3!H30),ParseTime(RunTime4!H30))/86400,"mm""m ""ss.00""s""")</f>
        <v>00m 01.90s ± 00m 00.53s</v>
      </c>
      <c r="I30" t="str">
        <f>TEXT(AVERAGE(ParseTime(RunTime1!I30),ParseTime(RunTime2!I30),ParseTime(RunTime3!I30),ParseTime(RunTime4!I30))/86400,"mm""m ""ss.00""s""") &amp; " ± " &amp; TEXT(_xlfn.STDEV.S(ParseTime(RunTime1!I30),ParseTime(RunTime2!I30),ParseTime(RunTime3!I30),ParseTime(RunTime4!I30))/86400,"mm""m ""ss.00""s""")</f>
        <v>00m 02.75s ± 00m 00.05s</v>
      </c>
      <c r="J30" t="str">
        <f>TEXT(AVERAGE(ParseTime(RunTime1!J30),ParseTime(RunTime2!J30),ParseTime(RunTime3!J30),ParseTime(RunTime4!J30))/86400,"mm""m ""ss.00""s""") &amp; " ± " &amp; TEXT(_xlfn.STDEV.S(ParseTime(RunTime1!J30),ParseTime(RunTime2!J30),ParseTime(RunTime3!J30),ParseTime(RunTime4!J30))/86400,"mm""m ""ss.00""s""")</f>
        <v>00m 02.95s ± 00m 00.19s</v>
      </c>
      <c r="K30" s="2">
        <f>AVERAGE(ParseTime(RunTime1!G30),ParseTime(RunTime2!G30),ParseTime(RunTime3!G30),ParseTime(RunTime4!G30))/AVERAGE(ParseTime(RunTime1!H30),ParseTime(RunTime2!H30),ParseTime(RunTime3!H30),ParseTime(RunTime4!H30))</f>
        <v>1.4787191988404271</v>
      </c>
      <c r="L30" s="2">
        <f>AVERAGE(ParseTime(RunTime1!F30),ParseTime(RunTime2!F30),ParseTime(RunTime3!F30),ParseTime(RunTime4!F30))
/
AVERAGE(ParseTime(RunTime1!G30),ParseTime(RunTime2!G30),ParseTime(RunTime3!G30),ParseTime(RunTime4!G30))</f>
        <v>230.02076278738193</v>
      </c>
      <c r="M30" s="2">
        <f>AVERAGE(ParseTime(RunTime1!F30),ParseTime(RunTime2!F30),ParseTime(RunTime3!F30),ParseTime(RunTime4!F30))
/
AVERAGE(ParseTime(RunTime1!H30),ParseTime(RunTime2!H30),ParseTime(RunTime3!H30),ParseTime(RunTime4!H30))</f>
        <v>340.1361180656213</v>
      </c>
      <c r="N30" s="2">
        <f>AVERAGE(ParseTime(RunTime1!I30),ParseTime(RunTime2!I30),ParseTime(RunTime3!I30),ParseTime(RunTime4!I30))/AVERAGE(ParseTime(RunTime1!J30),ParseTime(RunTime2!J30),ParseTime(RunTime3!J30),ParseTime(RunTime4!J30))</f>
        <v>0.93045096877908462</v>
      </c>
      <c r="O30" s="2">
        <f>AVERAGE(ParseTime(RunTime1!F30),ParseTime(RunTime2!F30),ParseTime(RunTime3!F30),ParseTime(RunTime4!F30))/AVERAGE(ParseTime(RunTime1!J30),ParseTime(RunTime2!J30),ParseTime(RunTime3!J30),ParseTime(RunTime4!J30))</f>
        <v>218.40197986293259</v>
      </c>
      <c r="P30" s="2">
        <f>AVERAGE(ParseTime(RunTime1!F30),ParseTime(RunTime2!F30),ParseTime(RunTime3!F30),ParseTime(RunTime4!F30))/AVERAGE(ParseTime(RunTime1!I30),ParseTime(RunTime2!I30),ParseTime(RunTime3!I30),ParseTime(RunTime4!I30))</f>
        <v>234.7270164590343</v>
      </c>
      <c r="Q30" s="2">
        <f>AVERAGE(ParseTime(RunTime1!H30),ParseTime(RunTime2!H30),ParseTime(RunTime3!H30),ParseTime(RunTime4!H30))/AVERAGE(ParseTime(RunTime1!J30),ParseTime(RunTime2!J30),ParseTime(RunTime3!J30),ParseTime(RunTime4!J30))</f>
        <v>0.64210170065149341</v>
      </c>
      <c r="R30" s="2">
        <f>AVERAGE(ParseTime(RunTime1!G30),ParseTime(RunTime2!G30),ParseTime(RunTime3!G30),ParseTime(RunTime4!G30))/AVERAGE(ParseTime(RunTime1!I30),ParseTime(RunTime2!I30),ParseTime(RunTime3!I30),ParseTime(RunTime4!I30))</f>
        <v>1.0204601254887697</v>
      </c>
      <c r="S30" s="2">
        <f>AVERAGE(ParseTime(RunTime1!H30),ParseTime(RunTime2!H30),ParseTime(RunTime3!H30),ParseTime(RunTime4!H30))/AVERAGE(ParseTime(RunTime1!I30),ParseTime(RunTime2!I30),ParseTime(RunTime3!I30),ParseTime(RunTime4!I30))</f>
        <v>0.69009729926343555</v>
      </c>
      <c r="T30" s="2">
        <f>AVERAGE(ParseTime(RunTime1!G30),ParseTime(RunTime2!G30),ParseTime(RunTime3!G30),ParseTime(RunTime4!G30))/AVERAGE(ParseTime(RunTime1!J30),ParseTime(RunTime2!J30),ParseTime(RunTime3!J30),ParseTime(RunTime4!J30))</f>
        <v>0.94948811236145203</v>
      </c>
      <c r="U30" t="s">
        <v>18</v>
      </c>
    </row>
    <row r="31" spans="1:21" x14ac:dyDescent="0.25">
      <c r="A31" t="s">
        <v>294</v>
      </c>
      <c r="B31" t="s">
        <v>187</v>
      </c>
      <c r="C31" t="s">
        <v>19</v>
      </c>
      <c r="D31" s="1">
        <v>117982</v>
      </c>
      <c r="E31">
        <v>2</v>
      </c>
      <c r="F31" t="str">
        <f>TEXT(AVERAGE(ParseTime(RunTime1!F31),ParseTime(RunTime2!F31),ParseTime(RunTime3!F31),ParseTime(RunTime4!F31))/86400,"mm""m ""ss.00""s""") &amp; " ± " &amp; TEXT(_xlfn.STDEV.S(ParseTime(RunTime1!F31),ParseTime(RunTime2!F31),ParseTime(RunTime3!F31),ParseTime(RunTime4!F31))/86400,"mm""m ""ss.00""s""")</f>
        <v>10m 46.63s ± 00m 19.91s</v>
      </c>
      <c r="G31" t="str">
        <f>TEXT(AVERAGE(ParseTime(RunTime1!G31),ParseTime(RunTime2!G31),ParseTime(RunTime3!G31),ParseTime(RunTime4!G31))/86400,"mm""m ""ss.00""s""") &amp; " ± " &amp; TEXT(_xlfn.STDEV.S(ParseTime(RunTime1!G31),ParseTime(RunTime2!G31),ParseTime(RunTime3!G31),ParseTime(RunTime4!G31))/86400,"mm""m ""ss.00""s""")</f>
        <v>00m 02.39s ± 00m 00.66s</v>
      </c>
      <c r="H31" t="str">
        <f>TEXT(AVERAGE(ParseTime(RunTime1!H31),ParseTime(RunTime2!H31),ParseTime(RunTime3!H31),ParseTime(RunTime4!H31))/86400,"mm""m ""ss.00""s""") &amp; " ± " &amp; TEXT(_xlfn.STDEV.S(ParseTime(RunTime1!H31),ParseTime(RunTime2!H31),ParseTime(RunTime3!H31),ParseTime(RunTime4!H31))/86400,"mm""m ""ss.00""s""")</f>
        <v>00m 02.57s ± 00m 01.69s</v>
      </c>
      <c r="I31" t="str">
        <f>TEXT(AVERAGE(ParseTime(RunTime1!I31),ParseTime(RunTime2!I31),ParseTime(RunTime3!I31),ParseTime(RunTime4!I31))/86400,"mm""m ""ss.00""s""") &amp; " ± " &amp; TEXT(_xlfn.STDEV.S(ParseTime(RunTime1!I31),ParseTime(RunTime2!I31),ParseTime(RunTime3!I31),ParseTime(RunTime4!I31))/86400,"mm""m ""ss.00""s""")</f>
        <v>00m 03.02s ± 00m 00.41s</v>
      </c>
      <c r="J31" t="str">
        <f>TEXT(AVERAGE(ParseTime(RunTime1!J31),ParseTime(RunTime2!J31),ParseTime(RunTime3!J31),ParseTime(RunTime4!J31))/86400,"mm""m ""ss.00""s""") &amp; " ± " &amp; TEXT(_xlfn.STDEV.S(ParseTime(RunTime1!J31),ParseTime(RunTime2!J31),ParseTime(RunTime3!J31),ParseTime(RunTime4!J31))/86400,"mm""m ""ss.00""s""")</f>
        <v>00m 02.91s ± 00m 00.10s</v>
      </c>
      <c r="K31" s="2">
        <f>AVERAGE(ParseTime(RunTime1!G31),ParseTime(RunTime2!G31),ParseTime(RunTime3!G31),ParseTime(RunTime4!G31))/AVERAGE(ParseTime(RunTime1!H31),ParseTime(RunTime2!H31),ParseTime(RunTime3!H31),ParseTime(RunTime4!H31))</f>
        <v>0.93316445830085737</v>
      </c>
      <c r="L31" s="2">
        <f>AVERAGE(ParseTime(RunTime1!F31),ParseTime(RunTime2!F31),ParseTime(RunTime3!F31),ParseTime(RunTime4!F31))
/
AVERAGE(ParseTime(RunTime1!G31),ParseTime(RunTime2!G31),ParseTime(RunTime3!G31),ParseTime(RunTime4!G31))</f>
        <v>270.04917519315097</v>
      </c>
      <c r="M31" s="2">
        <f>AVERAGE(ParseTime(RunTime1!F31),ParseTime(RunTime2!F31),ParseTime(RunTime3!F31),ParseTime(RunTime4!F31))
/
AVERAGE(ParseTime(RunTime1!H31),ParseTime(RunTime2!H31),ParseTime(RunTime3!H31),ParseTime(RunTime4!H31))</f>
        <v>252.00029228371005</v>
      </c>
      <c r="N31" s="2">
        <f>AVERAGE(ParseTime(RunTime1!I31),ParseTime(RunTime2!I31),ParseTime(RunTime3!I31),ParseTime(RunTime4!I31))/AVERAGE(ParseTime(RunTime1!J31),ParseTime(RunTime2!J31),ParseTime(RunTime3!J31),ParseTime(RunTime4!J31))</f>
        <v>1.0385374645953136</v>
      </c>
      <c r="O31" s="2">
        <f>AVERAGE(ParseTime(RunTime1!F31),ParseTime(RunTime2!F31),ParseTime(RunTime3!F31),ParseTime(RunTime4!F31))/AVERAGE(ParseTime(RunTime1!J31),ParseTime(RunTime2!J31),ParseTime(RunTime3!J31),ParseTime(RunTime4!J31))</f>
        <v>222.00077246588276</v>
      </c>
      <c r="P31" s="2">
        <f>AVERAGE(ParseTime(RunTime1!F31),ParseTime(RunTime2!F31),ParseTime(RunTime3!F31),ParseTime(RunTime4!F31))/AVERAGE(ParseTime(RunTime1!I31),ParseTime(RunTime2!I31),ParseTime(RunTime3!I31),ParseTime(RunTime4!I31))</f>
        <v>213.76289256198348</v>
      </c>
      <c r="Q31" s="2">
        <f>AVERAGE(ParseTime(RunTime1!H31),ParseTime(RunTime2!H31),ParseTime(RunTime3!H31),ParseTime(RunTime4!H31))/AVERAGE(ParseTime(RunTime1!J31),ParseTime(RunTime2!J31),ParseTime(RunTime3!J31),ParseTime(RunTime4!J31))</f>
        <v>0.88095442451291728</v>
      </c>
      <c r="R31" s="2">
        <f>AVERAGE(ParseTime(RunTime1!G31),ParseTime(RunTime2!G31),ParseTime(RunTime3!G31),ParseTime(RunTime4!G31))/AVERAGE(ParseTime(RunTime1!I31),ParseTime(RunTime2!I31),ParseTime(RunTime3!I31),ParseTime(RunTime4!I31))</f>
        <v>0.79157024793388431</v>
      </c>
      <c r="S31" s="2">
        <f>AVERAGE(ParseTime(RunTime1!H31),ParseTime(RunTime2!H31),ParseTime(RunTime3!H31),ParseTime(RunTime4!H31))/AVERAGE(ParseTime(RunTime1!I31),ParseTime(RunTime2!I31),ParseTime(RunTime3!I31),ParseTime(RunTime4!I31))</f>
        <v>0.8482644628099173</v>
      </c>
      <c r="T31" s="2">
        <f>AVERAGE(ParseTime(RunTime1!G31),ParseTime(RunTime2!G31),ParseTime(RunTime3!G31),ParseTime(RunTime4!G31))/AVERAGE(ParseTime(RunTime1!J31),ParseTime(RunTime2!J31),ParseTime(RunTime3!J31),ParseTime(RunTime4!J31))</f>
        <v>0.82207535833834</v>
      </c>
      <c r="U31" t="s">
        <v>18</v>
      </c>
    </row>
    <row r="32" spans="1:21" x14ac:dyDescent="0.25">
      <c r="A32" t="s">
        <v>294</v>
      </c>
      <c r="B32" t="s">
        <v>200</v>
      </c>
      <c r="C32" t="s">
        <v>11</v>
      </c>
      <c r="D32" s="1">
        <v>124026</v>
      </c>
      <c r="E32">
        <v>2</v>
      </c>
      <c r="F32" t="str">
        <f>TEXT(AVERAGE(ParseTime(RunTime1!F32),ParseTime(RunTime2!F32),ParseTime(RunTime3!F32),ParseTime(RunTime4!F32))/86400,"mm""m ""ss.00""s""") &amp; " ± " &amp; TEXT(_xlfn.STDEV.S(ParseTime(RunTime1!F32),ParseTime(RunTime2!F32),ParseTime(RunTime3!F32),ParseTime(RunTime4!F32))/86400,"mm""m ""ss.00""s""")</f>
        <v>01m 34.49s ± 00m 04.42s</v>
      </c>
      <c r="G32" t="str">
        <f>TEXT(AVERAGE(ParseTime(RunTime1!G32),ParseTime(RunTime2!G32),ParseTime(RunTime3!G32),ParseTime(RunTime4!G32))/86400,"mm""m ""ss.00""s""") &amp; " ± " &amp; TEXT(_xlfn.STDEV.S(ParseTime(RunTime1!G32),ParseTime(RunTime2!G32),ParseTime(RunTime3!G32),ParseTime(RunTime4!G32))/86400,"mm""m ""ss.00""s""")</f>
        <v>00m 01.91s ± 00m 00.41s</v>
      </c>
      <c r="H32" t="str">
        <f>TEXT(AVERAGE(ParseTime(RunTime1!H32),ParseTime(RunTime2!H32),ParseTime(RunTime3!H32),ParseTime(RunTime4!H32))/86400,"mm""m ""ss.00""s""") &amp; " ± " &amp; TEXT(_xlfn.STDEV.S(ParseTime(RunTime1!H32),ParseTime(RunTime2!H32),ParseTime(RunTime3!H32),ParseTime(RunTime4!H32))/86400,"mm""m ""ss.00""s""")</f>
        <v>00m 01.47s ± 00m 00.12s</v>
      </c>
      <c r="I32" t="str">
        <f>TEXT(AVERAGE(ParseTime(RunTime1!I32),ParseTime(RunTime2!I32),ParseTime(RunTime3!I32),ParseTime(RunTime4!I32))/86400,"mm""m ""ss.00""s""") &amp; " ± " &amp; TEXT(_xlfn.STDEV.S(ParseTime(RunTime1!I32),ParseTime(RunTime2!I32),ParseTime(RunTime3!I32),ParseTime(RunTime4!I32))/86400,"mm""m ""ss.00""s""")</f>
        <v>00m 02.99s ± 00m 00.41s</v>
      </c>
      <c r="J32" t="str">
        <f>TEXT(AVERAGE(ParseTime(RunTime1!J32),ParseTime(RunTime2!J32),ParseTime(RunTime3!J32),ParseTime(RunTime4!J32))/86400,"mm""m ""ss.00""s""") &amp; " ± " &amp; TEXT(_xlfn.STDEV.S(ParseTime(RunTime1!J32),ParseTime(RunTime2!J32),ParseTime(RunTime3!J32),ParseTime(RunTime4!J32))/86400,"mm""m ""ss.00""s""")</f>
        <v>00m 03.49s ± 00m 00.51s</v>
      </c>
      <c r="K32" s="2">
        <f>AVERAGE(ParseTime(RunTime1!G32),ParseTime(RunTime2!G32),ParseTime(RunTime3!G32),ParseTime(RunTime4!G32))/AVERAGE(ParseTime(RunTime1!H32),ParseTime(RunTime2!H32),ParseTime(RunTime3!H32),ParseTime(RunTime4!H32))</f>
        <v>1.2970583234143853</v>
      </c>
      <c r="L32" s="2">
        <f>AVERAGE(ParseTime(RunTime1!F32),ParseTime(RunTime2!F32),ParseTime(RunTime3!F32),ParseTime(RunTime4!F32))
/
AVERAGE(ParseTime(RunTime1!G32),ParseTime(RunTime2!G32),ParseTime(RunTime3!G32),ParseTime(RunTime4!G32))</f>
        <v>49.548505506030409</v>
      </c>
      <c r="M32" s="2">
        <f>AVERAGE(ParseTime(RunTime1!F32),ParseTime(RunTime2!F32),ParseTime(RunTime3!F32),ParseTime(RunTime4!F32))
/
AVERAGE(ParseTime(RunTime1!H32),ParseTime(RunTime2!H32),ParseTime(RunTime3!H32),ParseTime(RunTime4!H32))</f>
        <v>64.267301479340233</v>
      </c>
      <c r="N32" s="2">
        <f>AVERAGE(ParseTime(RunTime1!I32),ParseTime(RunTime2!I32),ParseTime(RunTime3!I32),ParseTime(RunTime4!I32))/AVERAGE(ParseTime(RunTime1!J32),ParseTime(RunTime2!J32),ParseTime(RunTime3!J32),ParseTime(RunTime4!J32))</f>
        <v>0.85588361760068798</v>
      </c>
      <c r="O32" s="2">
        <f>AVERAGE(ParseTime(RunTime1!F32),ParseTime(RunTime2!F32),ParseTime(RunTime3!F32),ParseTime(RunTime4!F32))/AVERAGE(ParseTime(RunTime1!J32),ParseTime(RunTime2!J32),ParseTime(RunTime3!J32),ParseTime(RunTime4!J32))</f>
        <v>27.085853518704315</v>
      </c>
      <c r="P32" s="2">
        <f>AVERAGE(ParseTime(RunTime1!F32),ParseTime(RunTime2!F32),ParseTime(RunTime3!F32),ParseTime(RunTime4!F32))/AVERAGE(ParseTime(RunTime1!I32),ParseTime(RunTime2!I32),ParseTime(RunTime3!I32),ParseTime(RunTime4!I32))</f>
        <v>31.646654944318847</v>
      </c>
      <c r="Q32" s="2">
        <f>AVERAGE(ParseTime(RunTime1!H32),ParseTime(RunTime2!H32),ParseTime(RunTime3!H32),ParseTime(RunTime4!H32))/AVERAGE(ParseTime(RunTime1!J32),ParseTime(RunTime2!J32),ParseTime(RunTime3!J32),ParseTime(RunTime4!J32))</f>
        <v>0.42145621327218008</v>
      </c>
      <c r="R32" s="2">
        <f>AVERAGE(ParseTime(RunTime1!G32),ParseTime(RunTime2!G32),ParseTime(RunTime3!G32),ParseTime(RunTime4!G32))/AVERAGE(ParseTime(RunTime1!I32),ParseTime(RunTime2!I32),ParseTime(RunTime3!I32),ParseTime(RunTime4!I32))</f>
        <v>0.63870049401322959</v>
      </c>
      <c r="S32" s="2">
        <f>AVERAGE(ParseTime(RunTime1!H32),ParseTime(RunTime2!H32),ParseTime(RunTime3!H32),ParseTime(RunTime4!H32))/AVERAGE(ParseTime(RunTime1!I32),ParseTime(RunTime2!I32),ParseTime(RunTime3!I32),ParseTime(RunTime4!I32))</f>
        <v>0.49242233944570046</v>
      </c>
      <c r="T32" s="2">
        <f>AVERAGE(ParseTime(RunTime1!G32),ParseTime(RunTime2!G32),ParseTime(RunTime3!G32),ParseTime(RunTime4!G32))/AVERAGE(ParseTime(RunTime1!J32),ParseTime(RunTime2!J32),ParseTime(RunTime3!J32),ParseTime(RunTime4!J32))</f>
        <v>0.54665328937938951</v>
      </c>
      <c r="U32" t="s">
        <v>18</v>
      </c>
    </row>
    <row r="33" spans="1:21" x14ac:dyDescent="0.25">
      <c r="A33" t="s">
        <v>294</v>
      </c>
      <c r="B33" t="s">
        <v>200</v>
      </c>
      <c r="C33" t="s">
        <v>19</v>
      </c>
      <c r="D33" s="1">
        <v>122501</v>
      </c>
      <c r="E33">
        <v>2</v>
      </c>
      <c r="F33" t="str">
        <f>TEXT(AVERAGE(ParseTime(RunTime1!F33),ParseTime(RunTime2!F33),ParseTime(RunTime3!F33),ParseTime(RunTime4!F33))/86400,"mm""m ""ss.00""s""") &amp; " ± " &amp; TEXT(_xlfn.STDEV.S(ParseTime(RunTime1!F33),ParseTime(RunTime2!F33),ParseTime(RunTime3!F33),ParseTime(RunTime4!F33))/86400,"mm""m ""ss.00""s""")</f>
        <v>01m 34.95s ± 00m 05.53s</v>
      </c>
      <c r="G33" t="str">
        <f>TEXT(AVERAGE(ParseTime(RunTime1!G33),ParseTime(RunTime2!G33),ParseTime(RunTime3!G33),ParseTime(RunTime4!G33))/86400,"mm""m ""ss.00""s""") &amp; " ± " &amp; TEXT(_xlfn.STDEV.S(ParseTime(RunTime1!G33),ParseTime(RunTime2!G33),ParseTime(RunTime3!G33),ParseTime(RunTime4!G33))/86400,"mm""m ""ss.00""s""")</f>
        <v>00m 01.98s ± 00m 00.72s</v>
      </c>
      <c r="H33" t="str">
        <f>TEXT(AVERAGE(ParseTime(RunTime1!H33),ParseTime(RunTime2!H33),ParseTime(RunTime3!H33),ParseTime(RunTime4!H33))/86400,"mm""m ""ss.00""s""") &amp; " ± " &amp; TEXT(_xlfn.STDEV.S(ParseTime(RunTime1!H33),ParseTime(RunTime2!H33),ParseTime(RunTime3!H33),ParseTime(RunTime4!H33))/86400,"mm""m ""ss.00""s""")</f>
        <v>00m 01.77s ± 00m 00.42s</v>
      </c>
      <c r="I33" t="str">
        <f>TEXT(AVERAGE(ParseTime(RunTime1!I33),ParseTime(RunTime2!I33),ParseTime(RunTime3!I33),ParseTime(RunTime4!I33))/86400,"mm""m ""ss.00""s""") &amp; " ± " &amp; TEXT(_xlfn.STDEV.S(ParseTime(RunTime1!I33),ParseTime(RunTime2!I33),ParseTime(RunTime3!I33),ParseTime(RunTime4!I33))/86400,"mm""m ""ss.00""s""")</f>
        <v>00m 02.52s ± 00m 00.04s</v>
      </c>
      <c r="J33" t="str">
        <f>TEXT(AVERAGE(ParseTime(RunTime1!J33),ParseTime(RunTime2!J33),ParseTime(RunTime3!J33),ParseTime(RunTime4!J33))/86400,"mm""m ""ss.00""s""") &amp; " ± " &amp; TEXT(_xlfn.STDEV.S(ParseTime(RunTime1!J33),ParseTime(RunTime2!J33),ParseTime(RunTime3!J33),ParseTime(RunTime4!J33))/86400,"mm""m ""ss.00""s""")</f>
        <v>00m 03.10s ± 00m 00.55s</v>
      </c>
      <c r="K33" s="2">
        <f>AVERAGE(ParseTime(RunTime1!G33),ParseTime(RunTime2!G33),ParseTime(RunTime3!G33),ParseTime(RunTime4!G33))/AVERAGE(ParseTime(RunTime1!H33),ParseTime(RunTime2!H33),ParseTime(RunTime3!H33),ParseTime(RunTime4!H33))</f>
        <v>1.1170738596243468</v>
      </c>
      <c r="L33" s="2">
        <f>AVERAGE(ParseTime(RunTime1!F33),ParseTime(RunTime2!F33),ParseTime(RunTime3!F33),ParseTime(RunTime4!F33))
/
AVERAGE(ParseTime(RunTime1!G33),ParseTime(RunTime2!G33),ParseTime(RunTime3!G33),ParseTime(RunTime4!G33))</f>
        <v>48.013274336283196</v>
      </c>
      <c r="M33" s="2">
        <f>AVERAGE(ParseTime(RunTime1!F33),ParseTime(RunTime2!F33),ParseTime(RunTime3!F33),ParseTime(RunTime4!F33))
/
AVERAGE(ParseTime(RunTime1!H33),ParseTime(RunTime2!H33),ParseTime(RunTime3!H33),ParseTime(RunTime4!H33))</f>
        <v>53.634373676034464</v>
      </c>
      <c r="N33" s="2">
        <f>AVERAGE(ParseTime(RunTime1!I33),ParseTime(RunTime2!I33),ParseTime(RunTime3!I33),ParseTime(RunTime4!I33))/AVERAGE(ParseTime(RunTime1!J33),ParseTime(RunTime2!J33),ParseTime(RunTime3!J33),ParseTime(RunTime4!J33))</f>
        <v>0.81486562827858922</v>
      </c>
      <c r="O33" s="2">
        <f>AVERAGE(ParseTime(RunTime1!F33),ParseTime(RunTime2!F33),ParseTime(RunTime3!F33),ParseTime(RunTime4!F33))/AVERAGE(ParseTime(RunTime1!J33),ParseTime(RunTime2!J33),ParseTime(RunTime3!J33),ParseTime(RunTime4!J33))</f>
        <v>30.650068598176098</v>
      </c>
      <c r="P33" s="2">
        <f>AVERAGE(ParseTime(RunTime1!F33),ParseTime(RunTime2!F33),ParseTime(RunTime3!F33),ParseTime(RunTime4!F33))/AVERAGE(ParseTime(RunTime1!I33),ParseTime(RunTime2!I33),ParseTime(RunTime3!I33),ParseTime(RunTime4!I33))</f>
        <v>37.613647618104395</v>
      </c>
      <c r="Q33" s="2">
        <f>AVERAGE(ParseTime(RunTime1!H33),ParseTime(RunTime2!H33),ParseTime(RunTime3!H33),ParseTime(RunTime4!H33))/AVERAGE(ParseTime(RunTime1!J33),ParseTime(RunTime2!J33),ParseTime(RunTime3!J33),ParseTime(RunTime4!J33))</f>
        <v>0.5714631587442498</v>
      </c>
      <c r="R33" s="2">
        <f>AVERAGE(ParseTime(RunTime1!G33),ParseTime(RunTime2!G33),ParseTime(RunTime3!G33),ParseTime(RunTime4!G33))/AVERAGE(ParseTime(RunTime1!I33),ParseTime(RunTime2!I33),ParseTime(RunTime3!I33),ParseTime(RunTime4!I33))</f>
        <v>0.7834010102010498</v>
      </c>
      <c r="S33" s="2">
        <f>AVERAGE(ParseTime(RunTime1!H33),ParseTime(RunTime2!H33),ParseTime(RunTime3!H33),ParseTime(RunTime4!H33))/AVERAGE(ParseTime(RunTime1!I33),ParseTime(RunTime2!I33),ParseTime(RunTime3!I33),ParseTime(RunTime4!I33))</f>
        <v>0.70129741507378429</v>
      </c>
      <c r="T33" s="2">
        <f>AVERAGE(ParseTime(RunTime1!G33),ParseTime(RunTime2!G33),ParseTime(RunTime3!G33),ParseTime(RunTime4!G33))/AVERAGE(ParseTime(RunTime1!J33),ParseTime(RunTime2!J33),ParseTime(RunTime3!J33),ParseTime(RunTime4!J33))</f>
        <v>0.63836655637155992</v>
      </c>
      <c r="U33" t="s">
        <v>18</v>
      </c>
    </row>
    <row r="34" spans="1:21" x14ac:dyDescent="0.25">
      <c r="A34" t="s">
        <v>294</v>
      </c>
      <c r="B34" t="s">
        <v>213</v>
      </c>
      <c r="C34" t="s">
        <v>11</v>
      </c>
      <c r="D34" s="1">
        <v>116275</v>
      </c>
      <c r="E34">
        <v>2</v>
      </c>
      <c r="F34" t="str">
        <f>TEXT(AVERAGE(ParseTime(RunTime1!F34),ParseTime(RunTime2!F34),ParseTime(RunTime3!F34),ParseTime(RunTime4!F34))/86400,"mm""m ""ss.00""s""") &amp; " ± " &amp; TEXT(_xlfn.STDEV.S(ParseTime(RunTime1!F34),ParseTime(RunTime2!F34),ParseTime(RunTime3!F34),ParseTime(RunTime4!F34))/86400,"mm""m ""ss.00""s""")</f>
        <v>00m 05.06s ± 00m 00.17s</v>
      </c>
      <c r="G34" t="str">
        <f>TEXT(AVERAGE(ParseTime(RunTime1!G34),ParseTime(RunTime2!G34),ParseTime(RunTime3!G34),ParseTime(RunTime4!G34))/86400,"mm""m ""ss.00""s""") &amp; " ± " &amp; TEXT(_xlfn.STDEV.S(ParseTime(RunTime1!G34),ParseTime(RunTime2!G34),ParseTime(RunTime3!G34),ParseTime(RunTime4!G34))/86400,"mm""m ""ss.00""s""")</f>
        <v>00m 01.97s ± 00m 00.46s</v>
      </c>
      <c r="H34" t="str">
        <f>TEXT(AVERAGE(ParseTime(RunTime1!H34),ParseTime(RunTime2!H34),ParseTime(RunTime3!H34),ParseTime(RunTime4!H34))/86400,"mm""m ""ss.00""s""") &amp; " ± " &amp; TEXT(_xlfn.STDEV.S(ParseTime(RunTime1!H34),ParseTime(RunTime2!H34),ParseTime(RunTime3!H34),ParseTime(RunTime4!H34))/86400,"mm""m ""ss.00""s""")</f>
        <v>00m 01.78s ± 00m 00.40s</v>
      </c>
      <c r="I34" t="str">
        <f>TEXT(AVERAGE(ParseTime(RunTime1!I34),ParseTime(RunTime2!I34),ParseTime(RunTime3!I34),ParseTime(RunTime4!I34))/86400,"mm""m ""ss.00""s""") &amp; " ± " &amp; TEXT(_xlfn.STDEV.S(ParseTime(RunTime1!I34),ParseTime(RunTime2!I34),ParseTime(RunTime3!I34),ParseTime(RunTime4!I34))/86400,"mm""m ""ss.00""s""")</f>
        <v>00m 02.44s ± 00m 00.03s</v>
      </c>
      <c r="J34" t="str">
        <f>TEXT(AVERAGE(ParseTime(RunTime1!J34),ParseTime(RunTime2!J34),ParseTime(RunTime3!J34),ParseTime(RunTime4!J34))/86400,"mm""m ""ss.00""s""") &amp; " ± " &amp; TEXT(_xlfn.STDEV.S(ParseTime(RunTime1!J34),ParseTime(RunTime2!J34),ParseTime(RunTime3!J34),ParseTime(RunTime4!J34))/86400,"mm""m ""ss.00""s""")</f>
        <v>00m 02.56s ± 00m 00.02s</v>
      </c>
      <c r="K34" s="2">
        <f>AVERAGE(ParseTime(RunTime1!G34),ParseTime(RunTime2!G34),ParseTime(RunTime3!G34),ParseTime(RunTime4!G34))/AVERAGE(ParseTime(RunTime1!H34),ParseTime(RunTime2!H34),ParseTime(RunTime3!H34),ParseTime(RunTime4!H34))</f>
        <v>1.1036611025389256</v>
      </c>
      <c r="L34" s="2">
        <f>AVERAGE(ParseTime(RunTime1!F34),ParseTime(RunTime2!F34),ParseTime(RunTime3!F34),ParseTime(RunTime4!F34))
/
AVERAGE(ParseTime(RunTime1!G34),ParseTime(RunTime2!G34),ParseTime(RunTime3!G34),ParseTime(RunTime4!G34))</f>
        <v>2.5702846975088969</v>
      </c>
      <c r="M34" s="2">
        <f>AVERAGE(ParseTime(RunTime1!F34),ParseTime(RunTime2!F34),ParseTime(RunTime3!F34),ParseTime(RunTime4!F34))
/
AVERAGE(ParseTime(RunTime1!H34),ParseTime(RunTime2!H34),ParseTime(RunTime3!H34),ParseTime(RunTime4!H34))</f>
        <v>2.8367232430915976</v>
      </c>
      <c r="N34" s="2">
        <f>AVERAGE(ParseTime(RunTime1!I34),ParseTime(RunTime2!I34),ParseTime(RunTime3!I34),ParseTime(RunTime4!I34))/AVERAGE(ParseTime(RunTime1!J34),ParseTime(RunTime2!J34),ParseTime(RunTime3!J34),ParseTime(RunTime4!J34))</f>
        <v>0.95251587689301409</v>
      </c>
      <c r="O34" s="2">
        <f>AVERAGE(ParseTime(RunTime1!F34),ParseTime(RunTime2!F34),ParseTime(RunTime3!F34),ParseTime(RunTime4!F34))/AVERAGE(ParseTime(RunTime1!J34),ParseTime(RunTime2!J34),ParseTime(RunTime3!J34),ParseTime(RunTime4!J34))</f>
        <v>1.9758671226184661</v>
      </c>
      <c r="P34" s="2">
        <f>AVERAGE(ParseTime(RunTime1!F34),ParseTime(RunTime2!F34),ParseTime(RunTime3!F34),ParseTime(RunTime4!F34))/AVERAGE(ParseTime(RunTime1!I34),ParseTime(RunTime2!I34),ParseTime(RunTime3!I34),ParseTime(RunTime4!I34))</f>
        <v>2.0743666017027387</v>
      </c>
      <c r="Q34" s="2">
        <f>AVERAGE(ParseTime(RunTime1!H34),ParseTime(RunTime2!H34),ParseTime(RunTime3!H34),ParseTime(RunTime4!H34))/AVERAGE(ParseTime(RunTime1!J34),ParseTime(RunTime2!J34),ParseTime(RunTime3!J34),ParseTime(RunTime4!J34))</f>
        <v>0.69653150952613585</v>
      </c>
      <c r="R34" s="2">
        <f>AVERAGE(ParseTime(RunTime1!G34),ParseTime(RunTime2!G34),ParseTime(RunTime3!G34),ParseTime(RunTime4!G34))/AVERAGE(ParseTime(RunTime1!I34),ParseTime(RunTime2!I34),ParseTime(RunTime3!I34),ParseTime(RunTime4!I34))</f>
        <v>0.80705713406503232</v>
      </c>
      <c r="S34" s="2">
        <f>AVERAGE(ParseTime(RunTime1!H34),ParseTime(RunTime2!H34),ParseTime(RunTime3!H34),ParseTime(RunTime4!H34))/AVERAGE(ParseTime(RunTime1!I34),ParseTime(RunTime2!I34),ParseTime(RunTime3!I34),ParseTime(RunTime4!I34))</f>
        <v>0.73125448763975798</v>
      </c>
      <c r="T34" s="2">
        <f>AVERAGE(ParseTime(RunTime1!G34),ParseTime(RunTime2!G34),ParseTime(RunTime3!G34),ParseTime(RunTime4!G34))/AVERAGE(ParseTime(RunTime1!J34),ParseTime(RunTime2!J34),ParseTime(RunTime3!J34),ParseTime(RunTime4!J34))</f>
        <v>0.76873473375671708</v>
      </c>
      <c r="U34" t="s">
        <v>18</v>
      </c>
    </row>
    <row r="35" spans="1:21" x14ac:dyDescent="0.25">
      <c r="A35" t="s">
        <v>294</v>
      </c>
      <c r="B35" t="s">
        <v>213</v>
      </c>
      <c r="C35" t="s">
        <v>19</v>
      </c>
      <c r="D35" s="1">
        <v>108110</v>
      </c>
      <c r="E35">
        <v>2</v>
      </c>
      <c r="F35" t="str">
        <f>TEXT(AVERAGE(ParseTime(RunTime1!F35),ParseTime(RunTime2!F35),ParseTime(RunTime3!F35),ParseTime(RunTime4!F35))/86400,"mm""m ""ss.00""s""") &amp; " ± " &amp; TEXT(_xlfn.STDEV.S(ParseTime(RunTime1!F35),ParseTime(RunTime2!F35),ParseTime(RunTime3!F35),ParseTime(RunTime4!F35))/86400,"mm""m ""ss.00""s""")</f>
        <v>00m 05.39s ± 00m 00.95s</v>
      </c>
      <c r="G35" t="str">
        <f>TEXT(AVERAGE(ParseTime(RunTime1!G35),ParseTime(RunTime2!G35),ParseTime(RunTime3!G35),ParseTime(RunTime4!G35))/86400,"mm""m ""ss.00""s""") &amp; " ± " &amp; TEXT(_xlfn.STDEV.S(ParseTime(RunTime1!G35),ParseTime(RunTime2!G35),ParseTime(RunTime3!G35),ParseTime(RunTime4!G35))/86400,"mm""m ""ss.00""s""")</f>
        <v>00m 01.51s ± 00m 00.32s</v>
      </c>
      <c r="H35" t="str">
        <f>TEXT(AVERAGE(ParseTime(RunTime1!H35),ParseTime(RunTime2!H35),ParseTime(RunTime3!H35),ParseTime(RunTime4!H35))/86400,"mm""m ""ss.00""s""") &amp; " ± " &amp; TEXT(_xlfn.STDEV.S(ParseTime(RunTime1!H35),ParseTime(RunTime2!H35),ParseTime(RunTime3!H35),ParseTime(RunTime4!H35))/86400,"mm""m ""ss.00""s""")</f>
        <v>00m 01.65s ± 00m 00.40s</v>
      </c>
      <c r="I35" t="str">
        <f>TEXT(AVERAGE(ParseTime(RunTime1!I35),ParseTime(RunTime2!I35),ParseTime(RunTime3!I35),ParseTime(RunTime4!I35))/86400,"mm""m ""ss.00""s""") &amp; " ± " &amp; TEXT(_xlfn.STDEV.S(ParseTime(RunTime1!I35),ParseTime(RunTime2!I35),ParseTime(RunTime3!I35),ParseTime(RunTime4!I35))/86400,"mm""m ""ss.00""s""")</f>
        <v>00m 02.94s ± 00m 00.32s</v>
      </c>
      <c r="J35" t="str">
        <f>TEXT(AVERAGE(ParseTime(RunTime1!J35),ParseTime(RunTime2!J35),ParseTime(RunTime3!J35),ParseTime(RunTime4!J35))/86400,"mm""m ""ss.00""s""") &amp; " ± " &amp; TEXT(_xlfn.STDEV.S(ParseTime(RunTime1!J35),ParseTime(RunTime2!J35),ParseTime(RunTime3!J35),ParseTime(RunTime4!J35))/86400,"mm""m ""ss.00""s""")</f>
        <v>00m 03.01s ± 00m 00.52s</v>
      </c>
      <c r="K35" s="2">
        <f>AVERAGE(ParseTime(RunTime1!G35),ParseTime(RunTime2!G35),ParseTime(RunTime3!G35),ParseTime(RunTime4!G35))/AVERAGE(ParseTime(RunTime1!H35),ParseTime(RunTime2!H35),ParseTime(RunTime3!H35),ParseTime(RunTime4!H35))</f>
        <v>0.91213452507195891</v>
      </c>
      <c r="L35" s="2">
        <f>AVERAGE(ParseTime(RunTime1!F35),ParseTime(RunTime2!F35),ParseTime(RunTime3!F35),ParseTime(RunTime4!F35))
/
AVERAGE(ParseTime(RunTime1!G35),ParseTime(RunTime2!G35),ParseTime(RunTime3!G35),ParseTime(RunTime4!G35))</f>
        <v>3.5834578973592426</v>
      </c>
      <c r="M35" s="2">
        <f>AVERAGE(ParseTime(RunTime1!F35),ParseTime(RunTime2!F35),ParseTime(RunTime3!F35),ParseTime(RunTime4!F35))
/
AVERAGE(ParseTime(RunTime1!H35),ParseTime(RunTime2!H35),ParseTime(RunTime3!H35),ParseTime(RunTime4!H35))</f>
        <v>3.2685956673231336</v>
      </c>
      <c r="N35" s="2">
        <f>AVERAGE(ParseTime(RunTime1!I35),ParseTime(RunTime2!I35),ParseTime(RunTime3!I35),ParseTime(RunTime4!I35))/AVERAGE(ParseTime(RunTime1!J35),ParseTime(RunTime2!J35),ParseTime(RunTime3!J35),ParseTime(RunTime4!J35))</f>
        <v>0.97648329732424799</v>
      </c>
      <c r="O35" s="2">
        <f>AVERAGE(ParseTime(RunTime1!F35),ParseTime(RunTime2!F35),ParseTime(RunTime3!F35),ParseTime(RunTime4!F35))/AVERAGE(ParseTime(RunTime1!J35),ParseTime(RunTime2!J35),ParseTime(RunTime3!J35),ParseTime(RunTime4!J35))</f>
        <v>1.7929200598304804</v>
      </c>
      <c r="P35" s="2">
        <f>AVERAGE(ParseTime(RunTime1!F35),ParseTime(RunTime2!F35),ParseTime(RunTime3!F35),ParseTime(RunTime4!F35))/AVERAGE(ParseTime(RunTime1!I35),ParseTime(RunTime2!I35),ParseTime(RunTime3!I35),ParseTime(RunTime4!I35))</f>
        <v>1.8360990553995407</v>
      </c>
      <c r="Q35" s="2">
        <f>AVERAGE(ParseTime(RunTime1!H35),ParseTime(RunTime2!H35),ParseTime(RunTime3!H35),ParseTime(RunTime4!H35))/AVERAGE(ParseTime(RunTime1!J35),ParseTime(RunTime2!J35),ParseTime(RunTime3!J35),ParseTime(RunTime4!J35))</f>
        <v>0.54852916735914903</v>
      </c>
      <c r="R35" s="2">
        <f>AVERAGE(ParseTime(RunTime1!G35),ParseTime(RunTime2!G35),ParseTime(RunTime3!G35),ParseTime(RunTime4!G35))/AVERAGE(ParseTime(RunTime1!I35),ParseTime(RunTime2!I35),ParseTime(RunTime3!I35),ParseTime(RunTime4!I35))</f>
        <v>0.51238192494255808</v>
      </c>
      <c r="S35" s="2">
        <f>AVERAGE(ParseTime(RunTime1!H35),ParseTime(RunTime2!H35),ParseTime(RunTime3!H35),ParseTime(RunTime4!H35))/AVERAGE(ParseTime(RunTime1!I35),ParseTime(RunTime2!I35),ParseTime(RunTime3!I35),ParseTime(RunTime4!I35))</f>
        <v>0.56173942643179298</v>
      </c>
      <c r="T35" s="2">
        <f>AVERAGE(ParseTime(RunTime1!G35),ParseTime(RunTime2!G35),ParseTime(RunTime3!G35),ParseTime(RunTime4!G35))/AVERAGE(ParseTime(RunTime1!J35),ParseTime(RunTime2!J35),ParseTime(RunTime3!J35),ParseTime(RunTime4!J35))</f>
        <v>0.50033239155725451</v>
      </c>
      <c r="U35" t="s">
        <v>18</v>
      </c>
    </row>
    <row r="36" spans="1:21" x14ac:dyDescent="0.25">
      <c r="A36" t="s">
        <v>294</v>
      </c>
      <c r="B36" t="s">
        <v>226</v>
      </c>
      <c r="C36" t="s">
        <v>11</v>
      </c>
      <c r="D36" s="1">
        <v>120233</v>
      </c>
      <c r="E36">
        <v>2</v>
      </c>
      <c r="F36" t="str">
        <f>TEXT(AVERAGE(ParseTime(RunTime1!F36),ParseTime(RunTime2!F36),ParseTime(RunTime3!F36),ParseTime(RunTime4!F36))/86400,"mm""m ""ss.00""s""") &amp; " ± " &amp; TEXT(_xlfn.STDEV.S(ParseTime(RunTime1!F36),ParseTime(RunTime2!F36),ParseTime(RunTime3!F36),ParseTime(RunTime4!F36))/86400,"mm""m ""ss.00""s""")</f>
        <v>00m 04.40s ± 00m 00.46s</v>
      </c>
      <c r="G36" t="str">
        <f>TEXT(AVERAGE(ParseTime(RunTime1!G36),ParseTime(RunTime2!G36),ParseTime(RunTime3!G36),ParseTime(RunTime4!G36))/86400,"mm""m ""ss.00""s""") &amp; " ± " &amp; TEXT(_xlfn.STDEV.S(ParseTime(RunTime1!G36),ParseTime(RunTime2!G36),ParseTime(RunTime3!G36),ParseTime(RunTime4!G36))/86400,"mm""m ""ss.00""s""")</f>
        <v>00m 02.04s ± 00m 00.52s</v>
      </c>
      <c r="H36" t="str">
        <f>TEXT(AVERAGE(ParseTime(RunTime1!H36),ParseTime(RunTime2!H36),ParseTime(RunTime3!H36),ParseTime(RunTime4!H36))/86400,"mm""m ""ss.00""s""") &amp; " ± " &amp; TEXT(_xlfn.STDEV.S(ParseTime(RunTime1!H36),ParseTime(RunTime2!H36),ParseTime(RunTime3!H36),ParseTime(RunTime4!H36))/86400,"mm""m ""ss.00""s""")</f>
        <v>00m 01.36s ± 00m 00.09s</v>
      </c>
      <c r="I36" t="str">
        <f>TEXT(AVERAGE(ParseTime(RunTime1!I36),ParseTime(RunTime2!I36),ParseTime(RunTime3!I36),ParseTime(RunTime4!I36))/86400,"mm""m ""ss.00""s""") &amp; " ± " &amp; TEXT(_xlfn.STDEV.S(ParseTime(RunTime1!I36),ParseTime(RunTime2!I36),ParseTime(RunTime3!I36),ParseTime(RunTime4!I36))/86400,"mm""m ""ss.00""s""")</f>
        <v>00m 02.35s ± 00m 00.07s</v>
      </c>
      <c r="J36" t="str">
        <f>TEXT(AVERAGE(ParseTime(RunTime1!J36),ParseTime(RunTime2!J36),ParseTime(RunTime3!J36),ParseTime(RunTime4!J36))/86400,"mm""m ""ss.00""s""") &amp; " ± " &amp; TEXT(_xlfn.STDEV.S(ParseTime(RunTime1!J36),ParseTime(RunTime2!J36),ParseTime(RunTime3!J36),ParseTime(RunTime4!J36))/86400,"mm""m ""ss.00""s""")</f>
        <v>00m 02.69s ± 00m 00.30s</v>
      </c>
      <c r="K36" s="2">
        <f>AVERAGE(ParseTime(RunTime1!G36),ParseTime(RunTime2!G36),ParseTime(RunTime3!G36),ParseTime(RunTime4!G36))/AVERAGE(ParseTime(RunTime1!H36),ParseTime(RunTime2!H36),ParseTime(RunTime3!H36),ParseTime(RunTime4!H36))</f>
        <v>1.5024903154399556</v>
      </c>
      <c r="L36" s="2">
        <f>AVERAGE(ParseTime(RunTime1!F36),ParseTime(RunTime2!F36),ParseTime(RunTime3!F36),ParseTime(RunTime4!F36))
/
AVERAGE(ParseTime(RunTime1!G36),ParseTime(RunTime2!G36),ParseTime(RunTime3!G36),ParseTime(RunTime4!G36))</f>
        <v>2.1625537139349298</v>
      </c>
      <c r="M36" s="2">
        <f>AVERAGE(ParseTime(RunTime1!F36),ParseTime(RunTime2!F36),ParseTime(RunTime3!F36),ParseTime(RunTime4!F36))
/
AVERAGE(ParseTime(RunTime1!H36),ParseTime(RunTime2!H36),ParseTime(RunTime3!H36),ParseTime(RunTime4!H36))</f>
        <v>3.2492160118059399</v>
      </c>
      <c r="N36" s="2">
        <f>AVERAGE(ParseTime(RunTime1!I36),ParseTime(RunTime2!I36),ParseTime(RunTime3!I36),ParseTime(RunTime4!I36))/AVERAGE(ParseTime(RunTime1!J36),ParseTime(RunTime2!J36),ParseTime(RunTime3!J36),ParseTime(RunTime4!J36))</f>
        <v>0.8756279069767442</v>
      </c>
      <c r="O36" s="2">
        <f>AVERAGE(ParseTime(RunTime1!F36),ParseTime(RunTime2!F36),ParseTime(RunTime3!F36),ParseTime(RunTime4!F36))/AVERAGE(ParseTime(RunTime1!J36),ParseTime(RunTime2!J36),ParseTime(RunTime3!J36),ParseTime(RunTime4!J36))</f>
        <v>1.6385116279069769</v>
      </c>
      <c r="P36" s="2">
        <f>AVERAGE(ParseTime(RunTime1!F36),ParseTime(RunTime2!F36),ParseTime(RunTime3!F36),ParseTime(RunTime4!F36))/AVERAGE(ParseTime(RunTime1!I36),ParseTime(RunTime2!I36),ParseTime(RunTime3!I36),ParseTime(RunTime4!I36))</f>
        <v>1.8712418995006905</v>
      </c>
      <c r="Q36" s="2">
        <f>AVERAGE(ParseTime(RunTime1!H36),ParseTime(RunTime2!H36),ParseTime(RunTime3!H36),ParseTime(RunTime4!H36))/AVERAGE(ParseTime(RunTime1!J36),ParseTime(RunTime2!J36),ParseTime(RunTime3!J36),ParseTime(RunTime4!J36))</f>
        <v>0.50427906976744186</v>
      </c>
      <c r="R36" s="2">
        <f>AVERAGE(ParseTime(RunTime1!G36),ParseTime(RunTime2!G36),ParseTime(RunTime3!G36),ParseTime(RunTime4!G36))/AVERAGE(ParseTime(RunTime1!I36),ParseTime(RunTime2!I36),ParseTime(RunTime3!I36),ParseTime(RunTime4!I36))</f>
        <v>0.86529268033570583</v>
      </c>
      <c r="S36" s="2">
        <f>AVERAGE(ParseTime(RunTime1!H36),ParseTime(RunTime2!H36),ParseTime(RunTime3!H36),ParseTime(RunTime4!H36))/AVERAGE(ParseTime(RunTime1!I36),ParseTime(RunTime2!I36),ParseTime(RunTime3!I36),ParseTime(RunTime4!I36))</f>
        <v>0.5759056623818124</v>
      </c>
      <c r="T36" s="2">
        <f>AVERAGE(ParseTime(RunTime1!G36),ParseTime(RunTime2!G36),ParseTime(RunTime3!G36),ParseTime(RunTime4!G36))/AVERAGE(ParseTime(RunTime1!J36),ParseTime(RunTime2!J36),ParseTime(RunTime3!J36),ParseTime(RunTime4!J36))</f>
        <v>0.75767441860465112</v>
      </c>
      <c r="U36" t="s">
        <v>18</v>
      </c>
    </row>
    <row r="37" spans="1:21" x14ac:dyDescent="0.25">
      <c r="A37" t="s">
        <v>294</v>
      </c>
      <c r="B37" t="s">
        <v>226</v>
      </c>
      <c r="C37" t="s">
        <v>19</v>
      </c>
      <c r="D37" s="1">
        <v>121425</v>
      </c>
      <c r="E37">
        <v>2</v>
      </c>
      <c r="F37" t="str">
        <f>TEXT(AVERAGE(ParseTime(RunTime1!F37),ParseTime(RunTime2!F37),ParseTime(RunTime3!F37),ParseTime(RunTime4!F37))/86400,"mm""m ""ss.00""s""") &amp; " ± " &amp; TEXT(_xlfn.STDEV.S(ParseTime(RunTime1!F37),ParseTime(RunTime2!F37),ParseTime(RunTime3!F37),ParseTime(RunTime4!F37))/86400,"mm""m ""ss.00""s""")</f>
        <v>00m 04.09s ± 00m 00.88s</v>
      </c>
      <c r="G37" t="str">
        <f>TEXT(AVERAGE(ParseTime(RunTime1!G37),ParseTime(RunTime2!G37),ParseTime(RunTime3!G37),ParseTime(RunTime4!G37))/86400,"mm""m ""ss.00""s""") &amp; " ± " &amp; TEXT(_xlfn.STDEV.S(ParseTime(RunTime1!G37),ParseTime(RunTime2!G37),ParseTime(RunTime3!G37),ParseTime(RunTime4!G37))/86400,"mm""m ""ss.00""s""")</f>
        <v>00m 01.33s ± 00m 00.10s</v>
      </c>
      <c r="H37" t="str">
        <f>TEXT(AVERAGE(ParseTime(RunTime1!H37),ParseTime(RunTime2!H37),ParseTime(RunTime3!H37),ParseTime(RunTime4!H37))/86400,"mm""m ""ss.00""s""") &amp; " ± " &amp; TEXT(_xlfn.STDEV.S(ParseTime(RunTime1!H37),ParseTime(RunTime2!H37),ParseTime(RunTime3!H37),ParseTime(RunTime4!H37))/86400,"mm""m ""ss.00""s""")</f>
        <v>00m 01.33s ± 00m 00.01s</v>
      </c>
      <c r="I37" t="str">
        <f>TEXT(AVERAGE(ParseTime(RunTime1!I37),ParseTime(RunTime2!I37),ParseTime(RunTime3!I37),ParseTime(RunTime4!I37))/86400,"mm""m ""ss.00""s""") &amp; " ± " &amp; TEXT(_xlfn.STDEV.S(ParseTime(RunTime1!I37),ParseTime(RunTime2!I37),ParseTime(RunTime3!I37),ParseTime(RunTime4!I37))/86400,"mm""m ""ss.00""s""")</f>
        <v>00m 02.57s ± 00m 00.42s</v>
      </c>
      <c r="J37" t="str">
        <f>TEXT(AVERAGE(ParseTime(RunTime1!J37),ParseTime(RunTime2!J37),ParseTime(RunTime3!J37),ParseTime(RunTime4!J37))/86400,"mm""m ""ss.00""s""") &amp; " ± " &amp; TEXT(_xlfn.STDEV.S(ParseTime(RunTime1!J37),ParseTime(RunTime2!J37),ParseTime(RunTime3!J37),ParseTime(RunTime4!J37))/86400,"mm""m ""ss.00""s""")</f>
        <v>00m 02.44s ± 00m 00.03s</v>
      </c>
      <c r="K37" s="2">
        <f>AVERAGE(ParseTime(RunTime1!G37),ParseTime(RunTime2!G37),ParseTime(RunTime3!G37),ParseTime(RunTime4!G37))/AVERAGE(ParseTime(RunTime1!H37),ParseTime(RunTime2!H37),ParseTime(RunTime3!H37),ParseTime(RunTime4!H37))</f>
        <v>0.99456623571294722</v>
      </c>
      <c r="L37" s="2">
        <f>AVERAGE(ParseTime(RunTime1!F37),ParseTime(RunTime2!F37),ParseTime(RunTime3!F37),ParseTime(RunTime4!F37))
/
AVERAGE(ParseTime(RunTime1!G37),ParseTime(RunTime2!G37),ParseTime(RunTime3!G37),ParseTime(RunTime4!G37))</f>
        <v>3.0821401657874907</v>
      </c>
      <c r="M37" s="2">
        <f>AVERAGE(ParseTime(RunTime1!F37),ParseTime(RunTime2!F37),ParseTime(RunTime3!F37),ParseTime(RunTime4!F37))
/
AVERAGE(ParseTime(RunTime1!H37),ParseTime(RunTime2!H37),ParseTime(RunTime3!H37),ParseTime(RunTime4!H37))</f>
        <v>3.0653925426269435</v>
      </c>
      <c r="N37" s="2">
        <f>AVERAGE(ParseTime(RunTime1!I37),ParseTime(RunTime2!I37),ParseTime(RunTime3!I37),ParseTime(RunTime4!I37))/AVERAGE(ParseTime(RunTime1!J37),ParseTime(RunTime2!J37),ParseTime(RunTime3!J37),ParseTime(RunTime4!J37))</f>
        <v>1.0533811475409838</v>
      </c>
      <c r="O37" s="2">
        <f>AVERAGE(ParseTime(RunTime1!F37),ParseTime(RunTime2!F37),ParseTime(RunTime3!F37),ParseTime(RunTime4!F37))/AVERAGE(ParseTime(RunTime1!J37),ParseTime(RunTime2!J37),ParseTime(RunTime3!J37),ParseTime(RunTime4!J37))</f>
        <v>1.6762295081967213</v>
      </c>
      <c r="P37" s="2">
        <f>AVERAGE(ParseTime(RunTime1!F37),ParseTime(RunTime2!F37),ParseTime(RunTime3!F37),ParseTime(RunTime4!F37))/AVERAGE(ParseTime(RunTime1!I37),ParseTime(RunTime2!I37),ParseTime(RunTime3!I37),ParseTime(RunTime4!I37))</f>
        <v>1.5912848944655187</v>
      </c>
      <c r="Q37" s="2">
        <f>AVERAGE(ParseTime(RunTime1!H37),ParseTime(RunTime2!H37),ParseTime(RunTime3!H37),ParseTime(RunTime4!H37))/AVERAGE(ParseTime(RunTime1!J37),ParseTime(RunTime2!J37),ParseTime(RunTime3!J37),ParseTime(RunTime4!J37))</f>
        <v>0.54682377049180331</v>
      </c>
      <c r="R37" s="2">
        <f>AVERAGE(ParseTime(RunTime1!G37),ParseTime(RunTime2!G37),ParseTime(RunTime3!G37),ParseTime(RunTime4!G37))/AVERAGE(ParseTime(RunTime1!I37),ParseTime(RunTime2!I37),ParseTime(RunTime3!I37),ParseTime(RunTime4!I37))</f>
        <v>0.51629218947573186</v>
      </c>
      <c r="S37" s="2">
        <f>AVERAGE(ParseTime(RunTime1!H37),ParseTime(RunTime2!H37),ParseTime(RunTime3!H37),ParseTime(RunTime4!H37))/AVERAGE(ParseTime(RunTime1!I37),ParseTime(RunTime2!I37),ParseTime(RunTime3!I37),ParseTime(RunTime4!I37))</f>
        <v>0.5191129267580975</v>
      </c>
      <c r="T37" s="2">
        <f>AVERAGE(ParseTime(RunTime1!G37),ParseTime(RunTime2!G37),ParseTime(RunTime3!G37),ParseTime(RunTime4!G37))/AVERAGE(ParseTime(RunTime1!J37),ParseTime(RunTime2!J37),ParseTime(RunTime3!J37),ParseTime(RunTime4!J37))</f>
        <v>0.54385245901639345</v>
      </c>
      <c r="U37" t="s">
        <v>18</v>
      </c>
    </row>
    <row r="38" spans="1:21" x14ac:dyDescent="0.25">
      <c r="A38" t="s">
        <v>294</v>
      </c>
      <c r="B38" t="s">
        <v>236</v>
      </c>
      <c r="C38" t="s">
        <v>11</v>
      </c>
      <c r="D38" s="1">
        <v>90920</v>
      </c>
      <c r="E38">
        <v>2</v>
      </c>
      <c r="F38" t="str">
        <f>TEXT(AVERAGE(ParseTime(RunTime1!F38),ParseTime(RunTime2!F38),ParseTime(RunTime3!F38),ParseTime(RunTime4!F38))/86400,"mm""m ""ss.00""s""") &amp; " ± " &amp; TEXT(_xlfn.STDEV.S(ParseTime(RunTime1!F38),ParseTime(RunTime2!F38),ParseTime(RunTime3!F38),ParseTime(RunTime4!F38))/86400,"mm""m ""ss.00""s""")</f>
        <v>00m 08.14s ± 00m 00.53s</v>
      </c>
      <c r="G38" t="str">
        <f>TEXT(AVERAGE(ParseTime(RunTime1!G38),ParseTime(RunTime2!G38),ParseTime(RunTime3!G38),ParseTime(RunTime4!G38))/86400,"mm""m ""ss.00""s""") &amp; " ± " &amp; TEXT(_xlfn.STDEV.S(ParseTime(RunTime1!G38),ParseTime(RunTime2!G38),ParseTime(RunTime3!G38),ParseTime(RunTime4!G38))/86400,"mm""m ""ss.00""s""")</f>
        <v>00m 01.46s ± 00m 00.27s</v>
      </c>
      <c r="H38" t="str">
        <f>TEXT(AVERAGE(ParseTime(RunTime1!H38),ParseTime(RunTime2!H38),ParseTime(RunTime3!H38),ParseTime(RunTime4!H38))/86400,"mm""m ""ss.00""s""") &amp; " ± " &amp; TEXT(_xlfn.STDEV.S(ParseTime(RunTime1!H38),ParseTime(RunTime2!H38),ParseTime(RunTime3!H38),ParseTime(RunTime4!H38))/86400,"mm""m ""ss.00""s""")</f>
        <v>00m 01.01s ± 00m 00.07s</v>
      </c>
      <c r="I38" t="str">
        <f>TEXT(AVERAGE(ParseTime(RunTime1!I38),ParseTime(RunTime2!I38),ParseTime(RunTime3!I38),ParseTime(RunTime4!I38))/86400,"mm""m ""ss.00""s""") &amp; " ± " &amp; TEXT(_xlfn.STDEV.S(ParseTime(RunTime1!I38),ParseTime(RunTime2!I38),ParseTime(RunTime3!I38),ParseTime(RunTime4!I38))/86400,"mm""m ""ss.00""s""")</f>
        <v>00m 02.27s ± 00m 00.29s</v>
      </c>
      <c r="J38" t="str">
        <f>TEXT(AVERAGE(ParseTime(RunTime1!J38),ParseTime(RunTime2!J38),ParseTime(RunTime3!J38),ParseTime(RunTime4!J38))/86400,"mm""m ""ss.00""s""") &amp; " ± " &amp; TEXT(_xlfn.STDEV.S(ParseTime(RunTime1!J38),ParseTime(RunTime2!J38),ParseTime(RunTime3!J38),ParseTime(RunTime4!J38))/86400,"mm""m ""ss.00""s""")</f>
        <v>00m 02.36s ± 00m 00.49s</v>
      </c>
      <c r="K38" s="2">
        <f>AVERAGE(ParseTime(RunTime1!G38),ParseTime(RunTime2!G38),ParseTime(RunTime3!G38),ParseTime(RunTime4!G38))/AVERAGE(ParseTime(RunTime1!H38),ParseTime(RunTime2!H38),ParseTime(RunTime3!H38),ParseTime(RunTime4!H38))</f>
        <v>1.4528067560854445</v>
      </c>
      <c r="L38" s="2">
        <f>AVERAGE(ParseTime(RunTime1!F38),ParseTime(RunTime2!F38),ParseTime(RunTime3!F38),ParseTime(RunTime4!F38))
/
AVERAGE(ParseTime(RunTime1!G38),ParseTime(RunTime2!G38),ParseTime(RunTime3!G38),ParseTime(RunTime4!G38))</f>
        <v>5.5665925799281935</v>
      </c>
      <c r="M38" s="2">
        <f>AVERAGE(ParseTime(RunTime1!F38),ParseTime(RunTime2!F38),ParseTime(RunTime3!F38),ParseTime(RunTime4!F38))
/
AVERAGE(ParseTime(RunTime1!H38),ParseTime(RunTime2!H38),ParseTime(RunTime3!H38),ParseTime(RunTime4!H38))</f>
        <v>8.0871833084947831</v>
      </c>
      <c r="N38" s="2">
        <f>AVERAGE(ParseTime(RunTime1!I38),ParseTime(RunTime2!I38),ParseTime(RunTime3!I38),ParseTime(RunTime4!I38))/AVERAGE(ParseTime(RunTime1!J38),ParseTime(RunTime2!J38),ParseTime(RunTime3!J38),ParseTime(RunTime4!J38))</f>
        <v>0.96116402116402122</v>
      </c>
      <c r="O38" s="2">
        <f>AVERAGE(ParseTime(RunTime1!F38),ParseTime(RunTime2!F38),ParseTime(RunTime3!F38),ParseTime(RunTime4!F38))/AVERAGE(ParseTime(RunTime1!J38),ParseTime(RunTime2!J38),ParseTime(RunTime3!J38),ParseTime(RunTime4!J38))</f>
        <v>3.4453968253968252</v>
      </c>
      <c r="P38" s="2">
        <f>AVERAGE(ParseTime(RunTime1!F38),ParseTime(RunTime2!F38),ParseTime(RunTime3!F38),ParseTime(RunTime4!F38))/AVERAGE(ParseTime(RunTime1!I38),ParseTime(RunTime2!I38),ParseTime(RunTime3!I38),ParseTime(RunTime4!I38))</f>
        <v>3.5846086094902563</v>
      </c>
      <c r="Q38" s="2">
        <f>AVERAGE(ParseTime(RunTime1!H38),ParseTime(RunTime2!H38),ParseTime(RunTime3!H38),ParseTime(RunTime4!H38))/AVERAGE(ParseTime(RunTime1!J38),ParseTime(RunTime2!J38),ParseTime(RunTime3!J38),ParseTime(RunTime4!J38))</f>
        <v>0.42603174603174604</v>
      </c>
      <c r="R38" s="2">
        <f>AVERAGE(ParseTime(RunTime1!G38),ParseTime(RunTime2!G38),ParseTime(RunTime3!G38),ParseTime(RunTime4!G38))/AVERAGE(ParseTime(RunTime1!I38),ParseTime(RunTime2!I38),ParseTime(RunTime3!I38),ParseTime(RunTime4!I38))</f>
        <v>0.6439502367059341</v>
      </c>
      <c r="S38" s="2">
        <f>AVERAGE(ParseTime(RunTime1!H38),ParseTime(RunTime2!H38),ParseTime(RunTime3!H38),ParseTime(RunTime4!H38))/AVERAGE(ParseTime(RunTime1!I38),ParseTime(RunTime2!I38),ParseTime(RunTime3!I38),ParseTime(RunTime4!I38))</f>
        <v>0.44324562369261256</v>
      </c>
      <c r="T38" s="2">
        <f>AVERAGE(ParseTime(RunTime1!G38),ParseTime(RunTime2!G38),ParseTime(RunTime3!G38),ParseTime(RunTime4!G38))/AVERAGE(ParseTime(RunTime1!J38),ParseTime(RunTime2!J38),ParseTime(RunTime3!J38),ParseTime(RunTime4!J38))</f>
        <v>0.6189417989417989</v>
      </c>
      <c r="U38" t="s">
        <v>18</v>
      </c>
    </row>
    <row r="39" spans="1:21" x14ac:dyDescent="0.25">
      <c r="A39" t="s">
        <v>294</v>
      </c>
      <c r="B39" t="s">
        <v>236</v>
      </c>
      <c r="C39" t="s">
        <v>19</v>
      </c>
      <c r="D39" s="1">
        <v>93414</v>
      </c>
      <c r="E39">
        <v>2</v>
      </c>
      <c r="F39" t="str">
        <f>TEXT(AVERAGE(ParseTime(RunTime1!F39),ParseTime(RunTime2!F39),ParseTime(RunTime3!F39),ParseTime(RunTime4!F39))/86400,"mm""m ""ss.00""s""") &amp; " ± " &amp; TEXT(_xlfn.STDEV.S(ParseTime(RunTime1!F39),ParseTime(RunTime2!F39),ParseTime(RunTime3!F39),ParseTime(RunTime4!F39))/86400,"mm""m ""ss.00""s""")</f>
        <v>00m 08.85s ± 00m 00.47s</v>
      </c>
      <c r="G39" t="str">
        <f>TEXT(AVERAGE(ParseTime(RunTime1!G39),ParseTime(RunTime2!G39),ParseTime(RunTime3!G39),ParseTime(RunTime4!G39))/86400,"mm""m ""ss.00""s""") &amp; " ± " &amp; TEXT(_xlfn.STDEV.S(ParseTime(RunTime1!G39),ParseTime(RunTime2!G39),ParseTime(RunTime3!G39),ParseTime(RunTime4!G39))/86400,"mm""m ""ss.00""s""")</f>
        <v>00m 01.20s ± 00m 00.32s</v>
      </c>
      <c r="H39" t="str">
        <f>TEXT(AVERAGE(ParseTime(RunTime1!H39),ParseTime(RunTime2!H39),ParseTime(RunTime3!H39),ParseTime(RunTime4!H39))/86400,"mm""m ""ss.00""s""") &amp; " ± " &amp; TEXT(_xlfn.STDEV.S(ParseTime(RunTime1!H39),ParseTime(RunTime2!H39),ParseTime(RunTime3!H39),ParseTime(RunTime4!H39))/86400,"mm""m ""ss.00""s""")</f>
        <v>00m 01.29s ± 00m 00.56s</v>
      </c>
      <c r="I39" t="str">
        <f>TEXT(AVERAGE(ParseTime(RunTime1!I39),ParseTime(RunTime2!I39),ParseTime(RunTime3!I39),ParseTime(RunTime4!I39))/86400,"mm""m ""ss.00""s""") &amp; " ± " &amp; TEXT(_xlfn.STDEV.S(ParseTime(RunTime1!I39),ParseTime(RunTime2!I39),ParseTime(RunTime3!I39),ParseTime(RunTime4!I39))/86400,"mm""m ""ss.00""s""")</f>
        <v>00m 01.95s ± 00m 00.05s</v>
      </c>
      <c r="J39" t="str">
        <f>TEXT(AVERAGE(ParseTime(RunTime1!J39),ParseTime(RunTime2!J39),ParseTime(RunTime3!J39),ParseTime(RunTime4!J39))/86400,"mm""m ""ss.00""s""") &amp; " ± " &amp; TEXT(_xlfn.STDEV.S(ParseTime(RunTime1!J39),ParseTime(RunTime2!J39),ParseTime(RunTime3!J39),ParseTime(RunTime4!J39))/86400,"mm""m ""ss.00""s""")</f>
        <v>00m 01.88s ± 00m 00.04s</v>
      </c>
      <c r="K39" s="2">
        <f>AVERAGE(ParseTime(RunTime1!G39),ParseTime(RunTime2!G39),ParseTime(RunTime3!G39),ParseTime(RunTime4!G39))/AVERAGE(ParseTime(RunTime1!H39),ParseTime(RunTime2!H39),ParseTime(RunTime3!H39),ParseTime(RunTime4!H39))</f>
        <v>0.9264052540081128</v>
      </c>
      <c r="L39" s="2">
        <f>AVERAGE(ParseTime(RunTime1!F39),ParseTime(RunTime2!F39),ParseTime(RunTime3!F39),ParseTime(RunTime4!F39))
/
AVERAGE(ParseTime(RunTime1!G39),ParseTime(RunTime2!G39),ParseTime(RunTime3!G39),ParseTime(RunTime4!G39))</f>
        <v>7.3828190158465397</v>
      </c>
      <c r="M39" s="2">
        <f>AVERAGE(ParseTime(RunTime1!F39),ParseTime(RunTime2!F39),ParseTime(RunTime3!F39),ParseTime(RunTime4!F39))
/
AVERAGE(ParseTime(RunTime1!H39),ParseTime(RunTime2!H39),ParseTime(RunTime3!H39),ParseTime(RunTime4!H39))</f>
        <v>6.8394823256712387</v>
      </c>
      <c r="N39" s="2">
        <f>AVERAGE(ParseTime(RunTime1!I39),ParseTime(RunTime2!I39),ParseTime(RunTime3!I39),ParseTime(RunTime4!I39))/AVERAGE(ParseTime(RunTime1!J39),ParseTime(RunTime2!J39),ParseTime(RunTime3!J39),ParseTime(RunTime4!J39))</f>
        <v>1.035885167464115</v>
      </c>
      <c r="O39" s="2">
        <f>AVERAGE(ParseTime(RunTime1!F39),ParseTime(RunTime2!F39),ParseTime(RunTime3!F39),ParseTime(RunTime4!F39))/AVERAGE(ParseTime(RunTime1!J39),ParseTime(RunTime2!J39),ParseTime(RunTime3!J39),ParseTime(RunTime4!J39))</f>
        <v>4.7060074428495486</v>
      </c>
      <c r="P39" s="2">
        <f>AVERAGE(ParseTime(RunTime1!F39),ParseTime(RunTime2!F39),ParseTime(RunTime3!F39),ParseTime(RunTime4!F39))/AVERAGE(ParseTime(RunTime1!I39),ParseTime(RunTime2!I39),ParseTime(RunTime3!I39),ParseTime(RunTime4!I39))</f>
        <v>4.5429817808570698</v>
      </c>
      <c r="Q39" s="2">
        <f>AVERAGE(ParseTime(RunTime1!H39),ParseTime(RunTime2!H39),ParseTime(RunTime3!H39),ParseTime(RunTime4!H39))/AVERAGE(ParseTime(RunTime1!J39),ParseTime(RunTime2!J39),ParseTime(RunTime3!J39),ParseTime(RunTime4!J39))</f>
        <v>0.68806485911749071</v>
      </c>
      <c r="R39" s="2">
        <f>AVERAGE(ParseTime(RunTime1!G39),ParseTime(RunTime2!G39),ParseTime(RunTime3!G39),ParseTime(RunTime4!G39))/AVERAGE(ParseTime(RunTime1!I39),ParseTime(RunTime2!I39),ParseTime(RunTime3!I39),ParseTime(RunTime4!I39))</f>
        <v>0.61534513728509099</v>
      </c>
      <c r="S39" s="2">
        <f>AVERAGE(ParseTime(RunTime1!H39),ParseTime(RunTime2!H39),ParseTime(RunTime3!H39),ParseTime(RunTime4!H39))/AVERAGE(ParseTime(RunTime1!I39),ParseTime(RunTime2!I39),ParseTime(RunTime3!I39),ParseTime(RunTime4!I39))</f>
        <v>0.66422889402104168</v>
      </c>
      <c r="T39" s="2">
        <f>AVERAGE(ParseTime(RunTime1!G39),ParseTime(RunTime2!G39),ParseTime(RunTime3!G39),ParseTime(RunTime4!G39))/AVERAGE(ParseTime(RunTime1!J39),ParseTime(RunTime2!J39),ParseTime(RunTime3!J39),ParseTime(RunTime4!J39))</f>
        <v>0.63742690058479534</v>
      </c>
      <c r="U39" t="s">
        <v>18</v>
      </c>
    </row>
    <row r="40" spans="1:21" x14ac:dyDescent="0.25">
      <c r="A40" t="s">
        <v>294</v>
      </c>
      <c r="B40" t="s">
        <v>248</v>
      </c>
      <c r="C40" t="s">
        <v>11</v>
      </c>
      <c r="D40" s="1">
        <v>88866</v>
      </c>
      <c r="E40">
        <v>2</v>
      </c>
      <c r="F40" t="str">
        <f>TEXT(AVERAGE(ParseTime(RunTime1!F40),ParseTime(RunTime2!F40),ParseTime(RunTime3!F40),ParseTime(RunTime4!F40))/86400,"mm""m ""ss.00""s""") &amp; " ± " &amp; TEXT(_xlfn.STDEV.S(ParseTime(RunTime1!F40),ParseTime(RunTime2!F40),ParseTime(RunTime3!F40),ParseTime(RunTime4!F40))/86400,"mm""m ""ss.00""s""")</f>
        <v>00m 03.56s ± 00m 00.85s</v>
      </c>
      <c r="G40" t="str">
        <f>TEXT(AVERAGE(ParseTime(RunTime1!G40),ParseTime(RunTime2!G40),ParseTime(RunTime3!G40),ParseTime(RunTime4!G40))/86400,"mm""m ""ss.00""s""") &amp; " ± " &amp; TEXT(_xlfn.STDEV.S(ParseTime(RunTime1!G40),ParseTime(RunTime2!G40),ParseTime(RunTime3!G40),ParseTime(RunTime4!G40))/86400,"mm""m ""ss.00""s""")</f>
        <v>00m 01.62s ± 00m 00.42s</v>
      </c>
      <c r="H40" t="str">
        <f>TEXT(AVERAGE(ParseTime(RunTime1!H40),ParseTime(RunTime2!H40),ParseTime(RunTime3!H40),ParseTime(RunTime4!H40))/86400,"mm""m ""ss.00""s""") &amp; " ± " &amp; TEXT(_xlfn.STDEV.S(ParseTime(RunTime1!H40),ParseTime(RunTime2!H40),ParseTime(RunTime3!H40),ParseTime(RunTime4!H40))/86400,"mm""m ""ss.00""s""")</f>
        <v>00m 01.05s ± 00m 00.05s</v>
      </c>
      <c r="I40" t="str">
        <f>TEXT(AVERAGE(ParseTime(RunTime1!I40),ParseTime(RunTime2!I40),ParseTime(RunTime3!I40),ParseTime(RunTime4!I40))/86400,"mm""m ""ss.00""s""") &amp; " ± " &amp; TEXT(_xlfn.STDEV.S(ParseTime(RunTime1!I40),ParseTime(RunTime2!I40),ParseTime(RunTime3!I40),ParseTime(RunTime4!I40))/86400,"mm""m ""ss.00""s""")</f>
        <v>00m 02.22s ± 00m 00.27s</v>
      </c>
      <c r="J40" t="str">
        <f>TEXT(AVERAGE(ParseTime(RunTime1!J40),ParseTime(RunTime2!J40),ParseTime(RunTime3!J40),ParseTime(RunTime4!J40))/86400,"mm""m ""ss.00""s""") &amp; " ± " &amp; TEXT(_xlfn.STDEV.S(ParseTime(RunTime1!J40),ParseTime(RunTime2!J40),ParseTime(RunTime3!J40),ParseTime(RunTime4!J40))/86400,"mm""m ""ss.00""s""")</f>
        <v>00m 02.51s ± 00m 00.47s</v>
      </c>
      <c r="K40" s="2">
        <f>AVERAGE(ParseTime(RunTime1!G40),ParseTime(RunTime2!G40),ParseTime(RunTime3!G40),ParseTime(RunTime4!G40))/AVERAGE(ParseTime(RunTime1!H40),ParseTime(RunTime2!H40),ParseTime(RunTime3!H40),ParseTime(RunTime4!H40))</f>
        <v>1.5322274881516587</v>
      </c>
      <c r="L40" s="2">
        <f>AVERAGE(ParseTime(RunTime1!F40),ParseTime(RunTime2!F40),ParseTime(RunTime3!F40),ParseTime(RunTime4!F40))
/
AVERAGE(ParseTime(RunTime1!G40),ParseTime(RunTime2!G40),ParseTime(RunTime3!G40),ParseTime(RunTime4!G40))</f>
        <v>2.2041447571914636</v>
      </c>
      <c r="M40" s="2">
        <f>AVERAGE(ParseTime(RunTime1!F40),ParseTime(RunTime2!F40),ParseTime(RunTime3!F40),ParseTime(RunTime4!F40))
/
AVERAGE(ParseTime(RunTime1!H40),ParseTime(RunTime2!H40),ParseTime(RunTime3!H40),ParseTime(RunTime4!H40))</f>
        <v>3.3772511848341238</v>
      </c>
      <c r="N40" s="2">
        <f>AVERAGE(ParseTime(RunTime1!I40),ParseTime(RunTime2!I40),ParseTime(RunTime3!I40),ParseTime(RunTime4!I40))/AVERAGE(ParseTime(RunTime1!J40),ParseTime(RunTime2!J40),ParseTime(RunTime3!J40),ParseTime(RunTime4!J40))</f>
        <v>0.88525244462183195</v>
      </c>
      <c r="O40" s="2">
        <f>AVERAGE(ParseTime(RunTime1!F40),ParseTime(RunTime2!F40),ParseTime(RunTime3!F40),ParseTime(RunTime4!F40))/AVERAGE(ParseTime(RunTime1!J40),ParseTime(RunTime2!J40),ParseTime(RunTime3!J40),ParseTime(RunTime4!J40))</f>
        <v>1.4220714428257835</v>
      </c>
      <c r="P40" s="2">
        <f>AVERAGE(ParseTime(RunTime1!F40),ParseTime(RunTime2!F40),ParseTime(RunTime3!F40),ParseTime(RunTime4!F40))/AVERAGE(ParseTime(RunTime1!I40),ParseTime(RunTime2!I40),ParseTime(RunTime3!I40),ParseTime(RunTime4!I40))</f>
        <v>1.6064021641118127</v>
      </c>
      <c r="Q40" s="2">
        <f>AVERAGE(ParseTime(RunTime1!H40),ParseTime(RunTime2!H40),ParseTime(RunTime3!H40),ParseTime(RunTime4!H40))/AVERAGE(ParseTime(RunTime1!J40),ParseTime(RunTime2!J40),ParseTime(RunTime3!J40),ParseTime(RunTime4!J40))</f>
        <v>0.42107363799640785</v>
      </c>
      <c r="R40" s="2">
        <f>AVERAGE(ParseTime(RunTime1!G40),ParseTime(RunTime2!G40),ParseTime(RunTime3!G40),ParseTime(RunTime4!G40))/AVERAGE(ParseTime(RunTime1!I40),ParseTime(RunTime2!I40),ParseTime(RunTime3!I40),ParseTime(RunTime4!I40))</f>
        <v>0.72880973850315589</v>
      </c>
      <c r="S40" s="2">
        <f>AVERAGE(ParseTime(RunTime1!H40),ParseTime(RunTime2!H40),ParseTime(RunTime3!H40),ParseTime(RunTime4!H40))/AVERAGE(ParseTime(RunTime1!I40),ParseTime(RunTime2!I40),ParseTime(RunTime3!I40),ParseTime(RunTime4!I40))</f>
        <v>0.47565374211000899</v>
      </c>
      <c r="T40" s="2">
        <f>AVERAGE(ParseTime(RunTime1!G40),ParseTime(RunTime2!G40),ParseTime(RunTime3!G40),ParseTime(RunTime4!G40))/AVERAGE(ParseTime(RunTime1!J40),ParseTime(RunTime2!J40),ParseTime(RunTime3!J40),ParseTime(RunTime4!J40))</f>
        <v>0.64518060267411681</v>
      </c>
      <c r="U40" t="s">
        <v>18</v>
      </c>
    </row>
    <row r="41" spans="1:21" x14ac:dyDescent="0.25">
      <c r="A41" t="s">
        <v>294</v>
      </c>
      <c r="B41" t="s">
        <v>248</v>
      </c>
      <c r="C41" t="s">
        <v>19</v>
      </c>
      <c r="D41" s="1">
        <v>89795</v>
      </c>
      <c r="E41">
        <v>2</v>
      </c>
      <c r="F41" t="str">
        <f>TEXT(AVERAGE(ParseTime(RunTime1!F41),ParseTime(RunTime2!F41),ParseTime(RunTime3!F41),ParseTime(RunTime4!F41))/86400,"mm""m ""ss.00""s""") &amp; " ± " &amp; TEXT(_xlfn.STDEV.S(ParseTime(RunTime1!F41),ParseTime(RunTime2!F41),ParseTime(RunTime3!F41),ParseTime(RunTime4!F41))/86400,"mm""m ""ss.00""s""")</f>
        <v>00m 03.24s ± 00m 00.64s</v>
      </c>
      <c r="G41" t="str">
        <f>TEXT(AVERAGE(ParseTime(RunTime1!G41),ParseTime(RunTime2!G41),ParseTime(RunTime3!G41),ParseTime(RunTime4!G41))/86400,"mm""m ""ss.00""s""") &amp; " ± " &amp; TEXT(_xlfn.STDEV.S(ParseTime(RunTime1!G41),ParseTime(RunTime2!G41),ParseTime(RunTime3!G41),ParseTime(RunTime4!G41))/86400,"mm""m ""ss.00""s""")</f>
        <v>00m 01.32s ± 00m 00.32s</v>
      </c>
      <c r="H41" t="str">
        <f>TEXT(AVERAGE(ParseTime(RunTime1!H41),ParseTime(RunTime2!H41),ParseTime(RunTime3!H41),ParseTime(RunTime4!H41))/86400,"mm""m ""ss.00""s""") &amp; " ± " &amp; TEXT(_xlfn.STDEV.S(ParseTime(RunTime1!H41),ParseTime(RunTime2!H41),ParseTime(RunTime3!H41),ParseTime(RunTime4!H41))/86400,"mm""m ""ss.00""s""")</f>
        <v>00m 01.35s ± 00m 00.38s</v>
      </c>
      <c r="I41" t="str">
        <f>TEXT(AVERAGE(ParseTime(RunTime1!I41),ParseTime(RunTime2!I41),ParseTime(RunTime3!I41),ParseTime(RunTime4!I41))/86400,"mm""m ""ss.00""s""") &amp; " ± " &amp; TEXT(_xlfn.STDEV.S(ParseTime(RunTime1!I41),ParseTime(RunTime2!I41),ParseTime(RunTime3!I41),ParseTime(RunTime4!I41))/86400,"mm""m ""ss.00""s""")</f>
        <v>00m 02.05s ± 00m 00.04s</v>
      </c>
      <c r="J41" t="str">
        <f>TEXT(AVERAGE(ParseTime(RunTime1!J41),ParseTime(RunTime2!J41),ParseTime(RunTime3!J41),ParseTime(RunTime4!J41))/86400,"mm""m ""ss.00""s""") &amp; " ± " &amp; TEXT(_xlfn.STDEV.S(ParseTime(RunTime1!J41),ParseTime(RunTime2!J41),ParseTime(RunTime3!J41),ParseTime(RunTime4!J41))/86400,"mm""m ""ss.00""s""")</f>
        <v>00m 02.12s ± 00m 00.15s</v>
      </c>
      <c r="K41" s="2">
        <f>AVERAGE(ParseTime(RunTime1!G41),ParseTime(RunTime2!G41),ParseTime(RunTime3!G41),ParseTime(RunTime4!G41))/AVERAGE(ParseTime(RunTime1!H41),ParseTime(RunTime2!H41),ParseTime(RunTime3!H41),ParseTime(RunTime4!H41))</f>
        <v>0.97908182154757506</v>
      </c>
      <c r="L41" s="2">
        <f>AVERAGE(ParseTime(RunTime1!F41),ParseTime(RunTime2!F41),ParseTime(RunTime3!F41),ParseTime(RunTime4!F41))
/
AVERAGE(ParseTime(RunTime1!G41),ParseTime(RunTime2!G41),ParseTime(RunTime3!G41),ParseTime(RunTime4!G41))</f>
        <v>2.4467763282283981</v>
      </c>
      <c r="M41" s="2">
        <f>AVERAGE(ParseTime(RunTime1!F41),ParseTime(RunTime2!F41),ParseTime(RunTime3!F41),ParseTime(RunTime4!F41))
/
AVERAGE(ParseTime(RunTime1!H41),ParseTime(RunTime2!H41),ParseTime(RunTime3!H41),ParseTime(RunTime4!H41))</f>
        <v>2.3955942243613473</v>
      </c>
      <c r="N41" s="2">
        <f>AVERAGE(ParseTime(RunTime1!I41),ParseTime(RunTime2!I41),ParseTime(RunTime3!I41),ParseTime(RunTime4!I41))/AVERAGE(ParseTime(RunTime1!J41),ParseTime(RunTime2!J41),ParseTime(RunTime3!J41),ParseTime(RunTime4!J41))</f>
        <v>0.96705243268776575</v>
      </c>
      <c r="O41" s="2">
        <f>AVERAGE(ParseTime(RunTime1!F41),ParseTime(RunTime2!F41),ParseTime(RunTime3!F41),ParseTime(RunTime4!F41))/AVERAGE(ParseTime(RunTime1!J41),ParseTime(RunTime2!J41),ParseTime(RunTime3!J41),ParseTime(RunTime4!J41))</f>
        <v>1.5282239017477561</v>
      </c>
      <c r="P41" s="2">
        <f>AVERAGE(ParseTime(RunTime1!F41),ParseTime(RunTime2!F41),ParseTime(RunTime3!F41),ParseTime(RunTime4!F41))/AVERAGE(ParseTime(RunTime1!I41),ParseTime(RunTime2!I41),ParseTime(RunTime3!I41),ParseTime(RunTime4!I41))</f>
        <v>1.5802906337770177</v>
      </c>
      <c r="Q41" s="2">
        <f>AVERAGE(ParseTime(RunTime1!H41),ParseTime(RunTime2!H41),ParseTime(RunTime3!H41),ParseTime(RunTime4!H41))/AVERAGE(ParseTime(RunTime1!J41),ParseTime(RunTime2!J41),ParseTime(RunTime3!J41),ParseTime(RunTime4!J41))</f>
        <v>0.63793103448275867</v>
      </c>
      <c r="R41" s="2">
        <f>AVERAGE(ParseTime(RunTime1!G41),ParseTime(RunTime2!G41),ParseTime(RunTime3!G41),ParseTime(RunTime4!G41))/AVERAGE(ParseTime(RunTime1!I41),ParseTime(RunTime2!I41),ParseTime(RunTime3!I41),ParseTime(RunTime4!I41))</f>
        <v>0.64586640615459767</v>
      </c>
      <c r="S41" s="2">
        <f>AVERAGE(ParseTime(RunTime1!H41),ParseTime(RunTime2!H41),ParseTime(RunTime3!H41),ParseTime(RunTime4!H41))/AVERAGE(ParseTime(RunTime1!I41),ParseTime(RunTime2!I41),ParseTime(RunTime3!I41),ParseTime(RunTime4!I41))</f>
        <v>0.65966540481133229</v>
      </c>
      <c r="T41" s="2">
        <f>AVERAGE(ParseTime(RunTime1!G41),ParseTime(RunTime2!G41),ParseTime(RunTime3!G41),ParseTime(RunTime4!G41))/AVERAGE(ParseTime(RunTime1!J41),ParseTime(RunTime2!J41),ParseTime(RunTime3!J41),ParseTime(RunTime4!J41))</f>
        <v>0.62458667926310829</v>
      </c>
      <c r="U41" t="s">
        <v>18</v>
      </c>
    </row>
    <row r="42" spans="1:21" x14ac:dyDescent="0.25">
      <c r="A42" t="s">
        <v>294</v>
      </c>
      <c r="B42" t="s">
        <v>259</v>
      </c>
      <c r="C42" t="s">
        <v>11</v>
      </c>
      <c r="D42" s="1">
        <v>57485</v>
      </c>
      <c r="E42">
        <v>2</v>
      </c>
      <c r="F42" t="str">
        <f>TEXT(AVERAGE(ParseTime(RunTime1!F42),ParseTime(RunTime2!F42),ParseTime(RunTime3!F42),ParseTime(RunTime4!F42))/86400,"mm""m ""ss.00""s""") &amp; " ± " &amp; TEXT(_xlfn.STDEV.S(ParseTime(RunTime1!F42),ParseTime(RunTime2!F42),ParseTime(RunTime3!F42),ParseTime(RunTime4!F42))/86400,"mm""m ""ss.00""s""")</f>
        <v>00m 37.48s ± 00m 00.21s</v>
      </c>
      <c r="G42" t="str">
        <f>TEXT(AVERAGE(ParseTime(RunTime1!G42),ParseTime(RunTime2!G42),ParseTime(RunTime3!G42),ParseTime(RunTime4!G42))/86400,"mm""m ""ss.00""s""") &amp; " ± " &amp; TEXT(_xlfn.STDEV.S(ParseTime(RunTime1!G42),ParseTime(RunTime2!G42),ParseTime(RunTime3!G42),ParseTime(RunTime4!G42))/86400,"mm""m ""ss.00""s""")</f>
        <v>00m 00.88s ± 00m 00.15s</v>
      </c>
      <c r="H42" t="str">
        <f>TEXT(AVERAGE(ParseTime(RunTime1!H42),ParseTime(RunTime2!H42),ParseTime(RunTime3!H42),ParseTime(RunTime4!H42))/86400,"mm""m ""ss.00""s""") &amp; " ± " &amp; TEXT(_xlfn.STDEV.S(ParseTime(RunTime1!H42),ParseTime(RunTime2!H42),ParseTime(RunTime3!H42),ParseTime(RunTime4!H42))/86400,"mm""m ""ss.00""s""")</f>
        <v>00m 00.68s ± 00m 00.01s</v>
      </c>
      <c r="I42" t="str">
        <f>TEXT(AVERAGE(ParseTime(RunTime1!I42),ParseTime(RunTime2!I42),ParseTime(RunTime3!I42),ParseTime(RunTime4!I42))/86400,"mm""m ""ss.00""s""") &amp; " ± " &amp; TEXT(_xlfn.STDEV.S(ParseTime(RunTime1!I42),ParseTime(RunTime2!I42),ParseTime(RunTime3!I42),ParseTime(RunTime4!I42))/86400,"mm""m ""ss.00""s""")</f>
        <v>00m 01.92s ± 00m 00.24s</v>
      </c>
      <c r="J42" t="str">
        <f>TEXT(AVERAGE(ParseTime(RunTime1!J42),ParseTime(RunTime2!J42),ParseTime(RunTime3!J42),ParseTime(RunTime4!J42))/86400,"mm""m ""ss.00""s""") &amp; " ± " &amp; TEXT(_xlfn.STDEV.S(ParseTime(RunTime1!J42),ParseTime(RunTime2!J42),ParseTime(RunTime3!J42),ParseTime(RunTime4!J42))/86400,"mm""m ""ss.00""s""")</f>
        <v>00m 02.06s ± 00m 00.42s</v>
      </c>
      <c r="K42" s="2">
        <f>AVERAGE(ParseTime(RunTime1!G42),ParseTime(RunTime2!G42),ParseTime(RunTime3!G42),ParseTime(RunTime4!G42))/AVERAGE(ParseTime(RunTime1!H42),ParseTime(RunTime2!H42),ParseTime(RunTime3!H42),ParseTime(RunTime4!H42))</f>
        <v>1.2898391812865497</v>
      </c>
      <c r="L42" s="2">
        <f>AVERAGE(ParseTime(RunTime1!F42),ParseTime(RunTime2!F42),ParseTime(RunTime3!F42),ParseTime(RunTime4!F42))
/
AVERAGE(ParseTime(RunTime1!G42),ParseTime(RunTime2!G42),ParseTime(RunTime3!G42),ParseTime(RunTime4!G42))</f>
        <v>42.483706432417122</v>
      </c>
      <c r="M42" s="2">
        <f>AVERAGE(ParseTime(RunTime1!F42),ParseTime(RunTime2!F42),ParseTime(RunTime3!F42),ParseTime(RunTime4!F42))
/
AVERAGE(ParseTime(RunTime1!H42),ParseTime(RunTime2!H42),ParseTime(RunTime3!H42),ParseTime(RunTime4!H42))</f>
        <v>54.797149122807028</v>
      </c>
      <c r="N42" s="2">
        <f>AVERAGE(ParseTime(RunTime1!I42),ParseTime(RunTime2!I42),ParseTime(RunTime3!I42),ParseTime(RunTime4!I42))/AVERAGE(ParseTime(RunTime1!J42),ParseTime(RunTime2!J42),ParseTime(RunTime3!J42),ParseTime(RunTime4!J42))</f>
        <v>0.93375394321766547</v>
      </c>
      <c r="O42" s="2">
        <f>AVERAGE(ParseTime(RunTime1!F42),ParseTime(RunTime2!F42),ParseTime(RunTime3!F42),ParseTime(RunTime4!F42))/AVERAGE(ParseTime(RunTime1!J42),ParseTime(RunTime2!J42),ParseTime(RunTime3!J42),ParseTime(RunTime4!J42))</f>
        <v>18.190366415918465</v>
      </c>
      <c r="P42" s="2">
        <f>AVERAGE(ParseTime(RunTime1!F42),ParseTime(RunTime2!F42),ParseTime(RunTime3!F42),ParseTime(RunTime4!F42))/AVERAGE(ParseTime(RunTime1!I42),ParseTime(RunTime2!I42),ParseTime(RunTime3!I42),ParseTime(RunTime4!I42))</f>
        <v>19.480899168399169</v>
      </c>
      <c r="Q42" s="2">
        <f>AVERAGE(ParseTime(RunTime1!H42),ParseTime(RunTime2!H42),ParseTime(RunTime3!H42),ParseTime(RunTime4!H42))/AVERAGE(ParseTime(RunTime1!J42),ParseTime(RunTime2!J42),ParseTime(RunTime3!J42),ParseTime(RunTime4!J42))</f>
        <v>0.33195826255763156</v>
      </c>
      <c r="R42" s="2">
        <f>AVERAGE(ParseTime(RunTime1!G42),ParseTime(RunTime2!G42),ParseTime(RunTime3!G42),ParseTime(RunTime4!G42))/AVERAGE(ParseTime(RunTime1!I42),ParseTime(RunTime2!I42),ParseTime(RunTime3!I42),ParseTime(RunTime4!I42))</f>
        <v>0.45854989604989604</v>
      </c>
      <c r="S42" s="2">
        <f>AVERAGE(ParseTime(RunTime1!H42),ParseTime(RunTime2!H42),ParseTime(RunTime3!H42),ParseTime(RunTime4!H42))/AVERAGE(ParseTime(RunTime1!I42),ParseTime(RunTime2!I42),ParseTime(RunTime3!I42),ParseTime(RunTime4!I42))</f>
        <v>0.35550935550935547</v>
      </c>
      <c r="T42" s="2">
        <f>AVERAGE(ParseTime(RunTime1!G42),ParseTime(RunTime2!G42),ParseTime(RunTime3!G42),ParseTime(RunTime4!G42))/AVERAGE(ParseTime(RunTime1!J42),ParseTime(RunTime2!J42),ParseTime(RunTime3!J42),ParseTime(RunTime4!J42))</f>
        <v>0.42817277359864103</v>
      </c>
      <c r="U42" t="s">
        <v>18</v>
      </c>
    </row>
    <row r="43" spans="1:21" x14ac:dyDescent="0.25">
      <c r="A43" t="s">
        <v>294</v>
      </c>
      <c r="B43" t="s">
        <v>259</v>
      </c>
      <c r="C43" t="s">
        <v>19</v>
      </c>
      <c r="D43" s="1">
        <v>58447</v>
      </c>
      <c r="E43">
        <v>2</v>
      </c>
      <c r="F43" t="str">
        <f>TEXT(AVERAGE(ParseTime(RunTime1!F43),ParseTime(RunTime2!F43),ParseTime(RunTime3!F43),ParseTime(RunTime4!F43))/86400,"mm""m ""ss.00""s""") &amp; " ± " &amp; TEXT(_xlfn.STDEV.S(ParseTime(RunTime1!F43),ParseTime(RunTime2!F43),ParseTime(RunTime3!F43),ParseTime(RunTime4!F43))/86400,"mm""m ""ss.00""s""")</f>
        <v>00m 37.60s ± 00m 00.36s</v>
      </c>
      <c r="G43" t="str">
        <f>TEXT(AVERAGE(ParseTime(RunTime1!G43),ParseTime(RunTime2!G43),ParseTime(RunTime3!G43),ParseTime(RunTime4!G43))/86400,"mm""m ""ss.00""s""") &amp; " ± " &amp; TEXT(_xlfn.STDEV.S(ParseTime(RunTime1!G43),ParseTime(RunTime2!G43),ParseTime(RunTime3!G43),ParseTime(RunTime4!G43))/86400,"mm""m ""ss.00""s""")</f>
        <v>00m 00.91s ± 00m 00.22s</v>
      </c>
      <c r="H43" t="str">
        <f>TEXT(AVERAGE(ParseTime(RunTime1!H43),ParseTime(RunTime2!H43),ParseTime(RunTime3!H43),ParseTime(RunTime4!H43))/86400,"mm""m ""ss.00""s""") &amp; " ± " &amp; TEXT(_xlfn.STDEV.S(ParseTime(RunTime1!H43),ParseTime(RunTime2!H43),ParseTime(RunTime3!H43),ParseTime(RunTime4!H43))/86400,"mm""m ""ss.00""s""")</f>
        <v>00m 00.81s ± 00m 00.22s</v>
      </c>
      <c r="I43" t="str">
        <f>TEXT(AVERAGE(ParseTime(RunTime1!I43),ParseTime(RunTime2!I43),ParseTime(RunTime3!I43),ParseTime(RunTime4!I43))/86400,"mm""m ""ss.00""s""") &amp; " ± " &amp; TEXT(_xlfn.STDEV.S(ParseTime(RunTime1!I43),ParseTime(RunTime2!I43),ParseTime(RunTime3!I43),ParseTime(RunTime4!I43))/86400,"mm""m ""ss.00""s""")</f>
        <v>00m 01.85s ± 00m 00.19s</v>
      </c>
      <c r="J43" t="str">
        <f>TEXT(AVERAGE(ParseTime(RunTime1!J43),ParseTime(RunTime2!J43),ParseTime(RunTime3!J43),ParseTime(RunTime4!J43))/86400,"mm""m ""ss.00""s""") &amp; " ± " &amp; TEXT(_xlfn.STDEV.S(ParseTime(RunTime1!J43),ParseTime(RunTime2!J43),ParseTime(RunTime3!J43),ParseTime(RunTime4!J43))/86400,"mm""m ""ss.00""s""")</f>
        <v>00m 01.68s ± 00m 00.04s</v>
      </c>
      <c r="K43" s="2">
        <f>AVERAGE(ParseTime(RunTime1!G43),ParseTime(RunTime2!G43),ParseTime(RunTime3!G43),ParseTime(RunTime4!G43))/AVERAGE(ParseTime(RunTime1!H43),ParseTime(RunTime2!H43),ParseTime(RunTime3!H43),ParseTime(RunTime4!H43))</f>
        <v>1.1240381655894121</v>
      </c>
      <c r="L43" s="2">
        <f>AVERAGE(ParseTime(RunTime1!F43),ParseTime(RunTime2!F43),ParseTime(RunTime3!F43),ParseTime(RunTime4!F43))
/
AVERAGE(ParseTime(RunTime1!G43),ParseTime(RunTime2!G43),ParseTime(RunTime3!G43),ParseTime(RunTime4!G43))</f>
        <v>41.184830230010945</v>
      </c>
      <c r="M43" s="2">
        <f>AVERAGE(ParseTime(RunTime1!F43),ParseTime(RunTime2!F43),ParseTime(RunTime3!F43),ParseTime(RunTime4!F43))
/
AVERAGE(ParseTime(RunTime1!H43),ParseTime(RunTime2!H43),ParseTime(RunTime3!H43),ParseTime(RunTime4!H43))</f>
        <v>46.293321021852861</v>
      </c>
      <c r="N43" s="2">
        <f>AVERAGE(ParseTime(RunTime1!I43),ParseTime(RunTime2!I43),ParseTime(RunTime3!I43),ParseTime(RunTime4!I43))/AVERAGE(ParseTime(RunTime1!J43),ParseTime(RunTime2!J43),ParseTime(RunTime3!J43),ParseTime(RunTime4!J43))</f>
        <v>1.1052160953800299</v>
      </c>
      <c r="O43" s="2">
        <f>AVERAGE(ParseTime(RunTime1!F43),ParseTime(RunTime2!F43),ParseTime(RunTime3!F43),ParseTime(RunTime4!F43))/AVERAGE(ParseTime(RunTime1!J43),ParseTime(RunTime2!J43),ParseTime(RunTime3!J43),ParseTime(RunTime4!J43))</f>
        <v>22.415350223546941</v>
      </c>
      <c r="P43" s="2">
        <f>AVERAGE(ParseTime(RunTime1!F43),ParseTime(RunTime2!F43),ParseTime(RunTime3!F43),ParseTime(RunTime4!F43))/AVERAGE(ParseTime(RunTime1!I43),ParseTime(RunTime2!I43),ParseTime(RunTime3!I43),ParseTime(RunTime4!I43))</f>
        <v>20.281418554476804</v>
      </c>
      <c r="Q43" s="2">
        <f>AVERAGE(ParseTime(RunTime1!H43),ParseTime(RunTime2!H43),ParseTime(RunTime3!H43),ParseTime(RunTime4!H43))/AVERAGE(ParseTime(RunTime1!J43),ParseTime(RunTime2!J43),ParseTime(RunTime3!J43),ParseTime(RunTime4!J43))</f>
        <v>0.48420268256333837</v>
      </c>
      <c r="R43" s="2">
        <f>AVERAGE(ParseTime(RunTime1!G43),ParseTime(RunTime2!G43),ParseTime(RunTime3!G43),ParseTime(RunTime4!G43))/AVERAGE(ParseTime(RunTime1!I43),ParseTime(RunTime2!I43),ParseTime(RunTime3!I43),ParseTime(RunTime4!I43))</f>
        <v>0.4924487594390507</v>
      </c>
      <c r="S43" s="2">
        <f>AVERAGE(ParseTime(RunTime1!H43),ParseTime(RunTime2!H43),ParseTime(RunTime3!H43),ParseTime(RunTime4!H43))/AVERAGE(ParseTime(RunTime1!I43),ParseTime(RunTime2!I43),ParseTime(RunTime3!I43),ParseTime(RunTime4!I43))</f>
        <v>0.43810679611650488</v>
      </c>
      <c r="T43" s="2">
        <f>AVERAGE(ParseTime(RunTime1!G43),ParseTime(RunTime2!G43),ParseTime(RunTime3!G43),ParseTime(RunTime4!G43))/AVERAGE(ParseTime(RunTime1!J43),ParseTime(RunTime2!J43),ParseTime(RunTime3!J43),ParseTime(RunTime4!J43))</f>
        <v>0.54426229508196722</v>
      </c>
      <c r="U43" t="s">
        <v>18</v>
      </c>
    </row>
    <row r="44" spans="1:21" x14ac:dyDescent="0.25">
      <c r="A44" t="s">
        <v>294</v>
      </c>
      <c r="B44" t="s">
        <v>271</v>
      </c>
      <c r="C44" t="s">
        <v>11</v>
      </c>
      <c r="D44" s="1">
        <v>55326</v>
      </c>
      <c r="E44">
        <v>2</v>
      </c>
      <c r="F44" t="str">
        <f>TEXT(AVERAGE(ParseTime(RunTime1!F44),ParseTime(RunTime2!F44),ParseTime(RunTime3!F44),ParseTime(RunTime4!F44))/86400,"mm""m ""ss.00""s""") &amp; " ± " &amp; TEXT(_xlfn.STDEV.S(ParseTime(RunTime1!F44),ParseTime(RunTime2!F44),ParseTime(RunTime3!F44),ParseTime(RunTime4!F44))/86400,"mm""m ""ss.00""s""")</f>
        <v>03m 38.40s ± 00m 11.14s</v>
      </c>
      <c r="G44" t="str">
        <f>TEXT(AVERAGE(ParseTime(RunTime1!G44),ParseTime(RunTime2!G44),ParseTime(RunTime3!G44),ParseTime(RunTime4!G44))/86400,"mm""m ""ss.00""s""") &amp; " ± " &amp; TEXT(_xlfn.STDEV.S(ParseTime(RunTime1!G44),ParseTime(RunTime2!G44),ParseTime(RunTime3!G44),ParseTime(RunTime4!G44))/86400,"mm""m ""ss.00""s""")</f>
        <v>00m 01.01s ± 00m 00.18s</v>
      </c>
      <c r="H44" t="str">
        <f>TEXT(AVERAGE(ParseTime(RunTime1!H44),ParseTime(RunTime2!H44),ParseTime(RunTime3!H44),ParseTime(RunTime4!H44))/86400,"mm""m ""ss.00""s""") &amp; " ± " &amp; TEXT(_xlfn.STDEV.S(ParseTime(RunTime1!H44),ParseTime(RunTime2!H44),ParseTime(RunTime3!H44),ParseTime(RunTime4!H44))/86400,"mm""m ""ss.00""s""")</f>
        <v>00m 00.96s ± 00m 00.26s</v>
      </c>
      <c r="I44" t="str">
        <f>TEXT(AVERAGE(ParseTime(RunTime1!I44),ParseTime(RunTime2!I44),ParseTime(RunTime3!I44),ParseTime(RunTime4!I44))/86400,"mm""m ""ss.00""s""") &amp; " ± " &amp; TEXT(_xlfn.STDEV.S(ParseTime(RunTime1!I44),ParseTime(RunTime2!I44),ParseTime(RunTime3!I44),ParseTime(RunTime4!I44))/86400,"mm""m ""ss.00""s""")</f>
        <v>00m 01.83s ± 00m 00.06s</v>
      </c>
      <c r="J44" t="str">
        <f>TEXT(AVERAGE(ParseTime(RunTime1!J44),ParseTime(RunTime2!J44),ParseTime(RunTime3!J44),ParseTime(RunTime4!J44))/86400,"mm""m ""ss.00""s""") &amp; " ± " &amp; TEXT(_xlfn.STDEV.S(ParseTime(RunTime1!J44),ParseTime(RunTime2!J44),ParseTime(RunTime3!J44),ParseTime(RunTime4!J44))/86400,"mm""m ""ss.00""s""")</f>
        <v>00m 01.80s ± 00m 00.05s</v>
      </c>
      <c r="K44" s="2">
        <f>AVERAGE(ParseTime(RunTime1!G44),ParseTime(RunTime2!G44),ParseTime(RunTime3!G44),ParseTime(RunTime4!G44))/AVERAGE(ParseTime(RunTime1!H44),ParseTime(RunTime2!H44),ParseTime(RunTime3!H44),ParseTime(RunTime4!H44))</f>
        <v>1.0476807463073337</v>
      </c>
      <c r="L44" s="2">
        <f>AVERAGE(ParseTime(RunTime1!F44),ParseTime(RunTime2!F44),ParseTime(RunTime3!F44),ParseTime(RunTime4!F44))
/
AVERAGE(ParseTime(RunTime1!G44),ParseTime(RunTime2!G44),ParseTime(RunTime3!G44),ParseTime(RunTime4!G44))</f>
        <v>216.07519168933959</v>
      </c>
      <c r="M44" s="2">
        <f>AVERAGE(ParseTime(RunTime1!F44),ParseTime(RunTime2!F44),ParseTime(RunTime3!F44),ParseTime(RunTime4!F44))
/
AVERAGE(ParseTime(RunTime1!H44),ParseTime(RunTime2!H44),ParseTime(RunTime3!H44),ParseTime(RunTime4!H44))</f>
        <v>226.37781808758746</v>
      </c>
      <c r="N44" s="2">
        <f>AVERAGE(ParseTime(RunTime1!I44),ParseTime(RunTime2!I44),ParseTime(RunTime3!I44),ParseTime(RunTime4!I44))/AVERAGE(ParseTime(RunTime1!J44),ParseTime(RunTime2!J44),ParseTime(RunTime3!J44),ParseTime(RunTime4!J44))</f>
        <v>1.0156748508808435</v>
      </c>
      <c r="O44" s="2">
        <f>AVERAGE(ParseTime(RunTime1!F44),ParseTime(RunTime2!F44),ParseTime(RunTime3!F44),ParseTime(RunTime4!F44))/AVERAGE(ParseTime(RunTime1!J44),ParseTime(RunTime2!J44),ParseTime(RunTime3!J44),ParseTime(RunTime4!J44))</f>
        <v>121.18074628936053</v>
      </c>
      <c r="P44" s="2">
        <f>AVERAGE(ParseTime(RunTime1!F44),ParseTime(RunTime2!F44),ParseTime(RunTime3!F44),ParseTime(RunTime4!F44))/AVERAGE(ParseTime(RunTime1!I44),ParseTime(RunTime2!I44),ParseTime(RunTime3!I44),ParseTime(RunTime4!I44))</f>
        <v>119.3105708822726</v>
      </c>
      <c r="Q44" s="2">
        <f>AVERAGE(ParseTime(RunTime1!H44),ParseTime(RunTime2!H44),ParseTime(RunTime3!H44),ParseTime(RunTime4!H44))/AVERAGE(ParseTime(RunTime1!J44),ParseTime(RunTime2!J44),ParseTime(RunTime3!J44),ParseTime(RunTime4!J44))</f>
        <v>0.53530309335552784</v>
      </c>
      <c r="R44" s="2">
        <f>AVERAGE(ParseTime(RunTime1!G44),ParseTime(RunTime2!G44),ParseTime(RunTime3!G44),ParseTime(RunTime4!G44))/AVERAGE(ParseTime(RunTime1!I44),ParseTime(RunTime2!I44),ParseTime(RunTime3!I44),ParseTime(RunTime4!I44))</f>
        <v>0.55217153783119366</v>
      </c>
      <c r="S44" s="2">
        <f>AVERAGE(ParseTime(RunTime1!H44),ParseTime(RunTime2!H44),ParseTime(RunTime3!H44),ParseTime(RunTime4!H44))/AVERAGE(ParseTime(RunTime1!I44),ParseTime(RunTime2!I44),ParseTime(RunTime3!I44),ParseTime(RunTime4!I44))</f>
        <v>0.52704179186014755</v>
      </c>
      <c r="T44" s="2">
        <f>AVERAGE(ParseTime(RunTime1!G44),ParseTime(RunTime2!G44),ParseTime(RunTime3!G44),ParseTime(RunTime4!G44))/AVERAGE(ParseTime(RunTime1!J44),ParseTime(RunTime2!J44),ParseTime(RunTime3!J44),ParseTime(RunTime4!J44))</f>
        <v>0.5608267443473437</v>
      </c>
      <c r="U44" t="s">
        <v>18</v>
      </c>
    </row>
    <row r="45" spans="1:21" x14ac:dyDescent="0.25">
      <c r="A45" t="s">
        <v>294</v>
      </c>
      <c r="B45" t="s">
        <v>271</v>
      </c>
      <c r="C45" t="s">
        <v>19</v>
      </c>
      <c r="D45" s="1">
        <v>55000</v>
      </c>
      <c r="E45">
        <v>2</v>
      </c>
      <c r="F45" t="str">
        <f>TEXT(AVERAGE(ParseTime(RunTime1!F45),ParseTime(RunTime2!F45),ParseTime(RunTime3!F45),ParseTime(RunTime4!F45))/86400,"mm""m ""ss.00""s""") &amp; " ± " &amp; TEXT(_xlfn.STDEV.S(ParseTime(RunTime1!F45),ParseTime(RunTime2!F45),ParseTime(RunTime3!F45),ParseTime(RunTime4!F45))/86400,"mm""m ""ss.00""s""")</f>
        <v>03m 33.69s ± 00m 10.05s</v>
      </c>
      <c r="G45" t="str">
        <f>TEXT(AVERAGE(ParseTime(RunTime1!G45),ParseTime(RunTime2!G45),ParseTime(RunTime3!G45),ParseTime(RunTime4!G45))/86400,"mm""m ""ss.00""s""") &amp; " ± " &amp; TEXT(_xlfn.STDEV.S(ParseTime(RunTime1!G45),ParseTime(RunTime2!G45),ParseTime(RunTime3!G45),ParseTime(RunTime4!G45))/86400,"mm""m ""ss.00""s""")</f>
        <v>00m 00.86s ± 00m 00.22s</v>
      </c>
      <c r="H45" t="str">
        <f>TEXT(AVERAGE(ParseTime(RunTime1!H45),ParseTime(RunTime2!H45),ParseTime(RunTime3!H45),ParseTime(RunTime4!H45))/86400,"mm""m ""ss.00""s""") &amp; " ± " &amp; TEXT(_xlfn.STDEV.S(ParseTime(RunTime1!H45),ParseTime(RunTime2!H45),ParseTime(RunTime3!H45),ParseTime(RunTime4!H45))/86400,"mm""m ""ss.00""s""")</f>
        <v>00m 00.84s ± 00m 00.18s</v>
      </c>
      <c r="I45" t="str">
        <f>TEXT(AVERAGE(ParseTime(RunTime1!I45),ParseTime(RunTime2!I45),ParseTime(RunTime3!I45),ParseTime(RunTime4!I45))/86400,"mm""m ""ss.00""s""") &amp; " ± " &amp; TEXT(_xlfn.STDEV.S(ParseTime(RunTime1!I45),ParseTime(RunTime2!I45),ParseTime(RunTime3!I45),ParseTime(RunTime4!I45))/86400,"mm""m ""ss.00""s""")</f>
        <v>00m 02.19s ± 00m 00.28s</v>
      </c>
      <c r="J45" t="str">
        <f>TEXT(AVERAGE(ParseTime(RunTime1!J45),ParseTime(RunTime2!J45),ParseTime(RunTime3!J45),ParseTime(RunTime4!J45))/86400,"mm""m ""ss.00""s""") &amp; " ± " &amp; TEXT(_xlfn.STDEV.S(ParseTime(RunTime1!J45),ParseTime(RunTime2!J45),ParseTime(RunTime3!J45),ParseTime(RunTime4!J45))/86400,"mm""m ""ss.00""s""")</f>
        <v>00m 01.96s ± 00m 00.36s</v>
      </c>
      <c r="K45" s="2">
        <f>AVERAGE(ParseTime(RunTime1!G45),ParseTime(RunTime2!G45),ParseTime(RunTime3!G45),ParseTime(RunTime4!G45))/AVERAGE(ParseTime(RunTime1!H45),ParseTime(RunTime2!H45),ParseTime(RunTime3!H45),ParseTime(RunTime4!H45))</f>
        <v>1.0204687036487687</v>
      </c>
      <c r="L45" s="2">
        <f>AVERAGE(ParseTime(RunTime1!F45),ParseTime(RunTime2!F45),ParseTime(RunTime3!F45),ParseTime(RunTime4!F45))
/
AVERAGE(ParseTime(RunTime1!G45),ParseTime(RunTime2!G45),ParseTime(RunTime3!G45),ParseTime(RunTime4!G45))</f>
        <v>248.47296511627908</v>
      </c>
      <c r="M45" s="2">
        <f>AVERAGE(ParseTime(RunTime1!F45),ParseTime(RunTime2!F45),ParseTime(RunTime3!F45),ParseTime(RunTime4!F45))
/
AVERAGE(ParseTime(RunTime1!H45),ParseTime(RunTime2!H45),ParseTime(RunTime3!H45),ParseTime(RunTime4!H45))</f>
        <v>253.55888460397506</v>
      </c>
      <c r="N45" s="2">
        <f>AVERAGE(ParseTime(RunTime1!I45),ParseTime(RunTime2!I45),ParseTime(RunTime3!I45),ParseTime(RunTime4!I45))/AVERAGE(ParseTime(RunTime1!J45),ParseTime(RunTime2!J45),ParseTime(RunTime3!J45),ParseTime(RunTime4!J45))</f>
        <v>1.1215957038741851</v>
      </c>
      <c r="O45" s="2">
        <f>AVERAGE(ParseTime(RunTime1!F45),ParseTime(RunTime2!F45),ParseTime(RunTime3!F45),ParseTime(RunTime4!F45))/AVERAGE(ParseTime(RunTime1!J45),ParseTime(RunTime2!J45),ParseTime(RunTime3!J45),ParseTime(RunTime4!J45))</f>
        <v>109.2887098836466</v>
      </c>
      <c r="P45" s="2">
        <f>AVERAGE(ParseTime(RunTime1!F45),ParseTime(RunTime2!F45),ParseTime(RunTime3!F45),ParseTime(RunTime4!F45))/AVERAGE(ParseTime(RunTime1!I45),ParseTime(RunTime2!I45),ParseTime(RunTime3!I45),ParseTime(RunTime4!I45))</f>
        <v>97.440378476972185</v>
      </c>
      <c r="Q45" s="2">
        <f>AVERAGE(ParseTime(RunTime1!H45),ParseTime(RunTime2!H45),ParseTime(RunTime3!H45),ParseTime(RunTime4!H45))/AVERAGE(ParseTime(RunTime1!J45),ParseTime(RunTime2!J45),ParseTime(RunTime3!J45),ParseTime(RunTime4!J45))</f>
        <v>0.4310190512722159</v>
      </c>
      <c r="R45" s="2">
        <f>AVERAGE(ParseTime(RunTime1!G45),ParseTime(RunTime2!G45),ParseTime(RunTime3!G45),ParseTime(RunTime4!G45))/AVERAGE(ParseTime(RunTime1!I45),ParseTime(RunTime2!I45),ParseTime(RunTime3!I45),ParseTime(RunTime4!I45))</f>
        <v>0.39215686274509803</v>
      </c>
      <c r="S45" s="2">
        <f>AVERAGE(ParseTime(RunTime1!H45),ParseTime(RunTime2!H45),ParseTime(RunTime3!H45),ParseTime(RunTime4!H45))/AVERAGE(ParseTime(RunTime1!I45),ParseTime(RunTime2!I45),ParseTime(RunTime3!I45),ParseTime(RunTime4!I45))</f>
        <v>0.38429092567259465</v>
      </c>
      <c r="T45" s="2">
        <f>AVERAGE(ParseTime(RunTime1!G45),ParseTime(RunTime2!G45),ParseTime(RunTime3!G45),ParseTime(RunTime4!G45))/AVERAGE(ParseTime(RunTime1!J45),ParseTime(RunTime2!J45),ParseTime(RunTime3!J45),ParseTime(RunTime4!J45))</f>
        <v>0.43984145249968037</v>
      </c>
      <c r="U45" t="s">
        <v>18</v>
      </c>
    </row>
    <row r="46" spans="1:21" x14ac:dyDescent="0.25">
      <c r="A46" t="s">
        <v>294</v>
      </c>
      <c r="B46" t="s">
        <v>283</v>
      </c>
      <c r="C46" t="s">
        <v>11</v>
      </c>
      <c r="D46" s="1">
        <v>90969</v>
      </c>
      <c r="E46">
        <v>1</v>
      </c>
      <c r="F46" t="str">
        <f>TEXT(AVERAGE(ParseTime(RunTime1!F46),ParseTime(RunTime2!F46),ParseTime(RunTime3!F46),ParseTime(RunTime4!F46))/86400,"mm""m ""ss.00""s""") &amp; " ± " &amp; TEXT(_xlfn.STDEV.S(ParseTime(RunTime1!F46),ParseTime(RunTime2!F46),ParseTime(RunTime3!F46),ParseTime(RunTime4!F46))/86400,"mm""m ""ss.00""s""")</f>
        <v>00m 09.41s ± 00m 00.64s</v>
      </c>
      <c r="G46" t="str">
        <f>TEXT(AVERAGE(ParseTime(RunTime1!G46),ParseTime(RunTime2!G46),ParseTime(RunTime3!G46),ParseTime(RunTime4!G46))/86400,"mm""m ""ss.00""s""") &amp; " ± " &amp; TEXT(_xlfn.STDEV.S(ParseTime(RunTime1!G46),ParseTime(RunTime2!G46),ParseTime(RunTime3!G46),ParseTime(RunTime4!G46))/86400,"mm""m ""ss.00""s""")</f>
        <v>00m 02.66s ± 00m 00.33s</v>
      </c>
      <c r="H46" t="str">
        <f>TEXT(AVERAGE(ParseTime(RunTime1!H46),ParseTime(RunTime2!H46),ParseTime(RunTime3!H46),ParseTime(RunTime4!H46))/86400,"mm""m ""ss.00""s""") &amp; " ± " &amp; TEXT(_xlfn.STDEV.S(ParseTime(RunTime1!H46),ParseTime(RunTime2!H46),ParseTime(RunTime3!H46),ParseTime(RunTime4!H46))/86400,"mm""m ""ss.00""s""")</f>
        <v>00m 02.60s ± 00m 00.64s</v>
      </c>
      <c r="I46" t="str">
        <f>TEXT(AVERAGE(ParseTime(RunTime1!I46),ParseTime(RunTime2!I46),ParseTime(RunTime3!I46),ParseTime(RunTime4!I46))/86400,"mm""m ""ss.00""s""") &amp; " ± " &amp; TEXT(_xlfn.STDEV.S(ParseTime(RunTime1!I46),ParseTime(RunTime2!I46),ParseTime(RunTime3!I46),ParseTime(RunTime4!I46))/86400,"mm""m ""ss.00""s""")</f>
        <v>00m 03.21s ± 00m 00.06s</v>
      </c>
      <c r="J46" t="str">
        <f>TEXT(AVERAGE(ParseTime(RunTime1!J46),ParseTime(RunTime2!J46),ParseTime(RunTime3!J46),ParseTime(RunTime4!J46))/86400,"mm""m ""ss.00""s""") &amp; " ± " &amp; TEXT(_xlfn.STDEV.S(ParseTime(RunTime1!J46),ParseTime(RunTime2!J46),ParseTime(RunTime3!J46),ParseTime(RunTime4!J46))/86400,"mm""m ""ss.00""s""")</f>
        <v>00m 03.85s ± 00m 00.14s</v>
      </c>
      <c r="K46" s="2">
        <f>AVERAGE(ParseTime(RunTime1!G46),ParseTime(RunTime2!G46),ParseTime(RunTime3!G46),ParseTime(RunTime4!G46))/AVERAGE(ParseTime(RunTime1!H46),ParseTime(RunTime2!H46),ParseTime(RunTime3!H46),ParseTime(RunTime4!H46))</f>
        <v>1.0245310245310246</v>
      </c>
      <c r="L46" s="2">
        <f>AVERAGE(ParseTime(RunTime1!F46),ParseTime(RunTime2!F46),ParseTime(RunTime3!F46),ParseTime(RunTime4!F46))
/
AVERAGE(ParseTime(RunTime1!G46),ParseTime(RunTime2!G46),ParseTime(RunTime3!G46),ParseTime(RunTime4!G46))</f>
        <v>3.5324882629107983</v>
      </c>
      <c r="M46" s="2">
        <f>AVERAGE(ParseTime(RunTime1!F46),ParseTime(RunTime2!F46),ParseTime(RunTime3!F46),ParseTime(RunTime4!F46))
/
AVERAGE(ParseTime(RunTime1!H46),ParseTime(RunTime2!H46),ParseTime(RunTime3!H46),ParseTime(RunTime4!H46))</f>
        <v>3.6191438191438197</v>
      </c>
      <c r="N46" s="2">
        <f>AVERAGE(ParseTime(RunTime1!I46),ParseTime(RunTime2!I46),ParseTime(RunTime3!I46),ParseTime(RunTime4!I46))/AVERAGE(ParseTime(RunTime1!J46),ParseTime(RunTime2!J46),ParseTime(RunTime3!J46),ParseTime(RunTime4!J46))</f>
        <v>0.83412260784949721</v>
      </c>
      <c r="O46" s="2">
        <f>AVERAGE(ParseTime(RunTime1!F46),ParseTime(RunTime2!F46),ParseTime(RunTime3!F46),ParseTime(RunTime4!F46))/AVERAGE(ParseTime(RunTime1!J46),ParseTime(RunTime2!J46),ParseTime(RunTime3!J46),ParseTime(RunTime4!J46))</f>
        <v>2.4405449237755432</v>
      </c>
      <c r="P46" s="2">
        <f>AVERAGE(ParseTime(RunTime1!F46),ParseTime(RunTime2!F46),ParseTime(RunTime3!F46),ParseTime(RunTime4!F46))/AVERAGE(ParseTime(RunTime1!I46),ParseTime(RunTime2!I46),ParseTime(RunTime3!I46),ParseTime(RunTime4!I46))</f>
        <v>2.9258827189298491</v>
      </c>
      <c r="Q46" s="2">
        <f>AVERAGE(ParseTime(RunTime1!H46),ParseTime(RunTime2!H46),ParseTime(RunTime3!H46),ParseTime(RunTime4!H46))/AVERAGE(ParseTime(RunTime1!J46),ParseTime(RunTime2!J46),ParseTime(RunTime3!J46),ParseTime(RunTime4!J46))</f>
        <v>0.67434317223483609</v>
      </c>
      <c r="R46" s="2">
        <f>AVERAGE(ParseTime(RunTime1!G46),ParseTime(RunTime2!G46),ParseTime(RunTime3!G46),ParseTime(RunTime4!G46))/AVERAGE(ParseTime(RunTime1!I46),ParseTime(RunTime2!I46),ParseTime(RunTime3!I46),ParseTime(RunTime4!I46))</f>
        <v>0.82827811479234714</v>
      </c>
      <c r="S46" s="2">
        <f>AVERAGE(ParseTime(RunTime1!H46),ParseTime(RunTime2!H46),ParseTime(RunTime3!H46),ParseTime(RunTime4!H46))/AVERAGE(ParseTime(RunTime1!I46),ParseTime(RunTime2!I46),ParseTime(RunTime3!I46),ParseTime(RunTime4!I46))</f>
        <v>0.80844610359309377</v>
      </c>
      <c r="T46" s="2">
        <f>AVERAGE(ParseTime(RunTime1!G46),ParseTime(RunTime2!G46),ParseTime(RunTime3!G46),ParseTime(RunTime4!G46))/AVERAGE(ParseTime(RunTime1!J46),ParseTime(RunTime2!J46),ParseTime(RunTime3!J46),ParseTime(RunTime4!J46))</f>
        <v>0.69088550113525782</v>
      </c>
      <c r="U46" t="s">
        <v>18</v>
      </c>
    </row>
    <row r="47" spans="1:21" x14ac:dyDescent="0.25">
      <c r="A47" t="s">
        <v>294</v>
      </c>
      <c r="B47" t="s">
        <v>283</v>
      </c>
      <c r="C47" t="s">
        <v>19</v>
      </c>
      <c r="D47" s="1">
        <v>127106</v>
      </c>
      <c r="E47">
        <v>2</v>
      </c>
      <c r="F47" t="str">
        <f>TEXT(AVERAGE(ParseTime(RunTime1!F47),ParseTime(RunTime2!F47),ParseTime(RunTime3!F47),ParseTime(RunTime4!F47))/86400,"mm""m ""ss.00""s""") &amp; " ± " &amp; TEXT(_xlfn.STDEV.S(ParseTime(RunTime1!F47),ParseTime(RunTime2!F47),ParseTime(RunTime3!F47),ParseTime(RunTime4!F47))/86400,"mm""m ""ss.00""s""")</f>
        <v>00m 17.51s ± 00m 00.91s</v>
      </c>
      <c r="G47" t="str">
        <f>TEXT(AVERAGE(ParseTime(RunTime1!G47),ParseTime(RunTime2!G47),ParseTime(RunTime3!G47),ParseTime(RunTime4!G47))/86400,"mm""m ""ss.00""s""") &amp; " ± " &amp; TEXT(_xlfn.STDEV.S(ParseTime(RunTime1!G47),ParseTime(RunTime2!G47),ParseTime(RunTime3!G47),ParseTime(RunTime4!G47))/86400,"mm""m ""ss.00""s""")</f>
        <v>00m 02.30s ± 00m 00.17s</v>
      </c>
      <c r="H47" t="str">
        <f>TEXT(AVERAGE(ParseTime(RunTime1!H47),ParseTime(RunTime2!H47),ParseTime(RunTime3!H47),ParseTime(RunTime4!H47))/86400,"mm""m ""ss.00""s""") &amp; " ± " &amp; TEXT(_xlfn.STDEV.S(ParseTime(RunTime1!H47),ParseTime(RunTime2!H47),ParseTime(RunTime3!H47),ParseTime(RunTime4!H47))/86400,"mm""m ""ss.00""s""")</f>
        <v>00m 04.73s ± 00m 01.22s</v>
      </c>
      <c r="I47" t="str">
        <f>TEXT(AVERAGE(ParseTime(RunTime1!I47),ParseTime(RunTime2!I47),ParseTime(RunTime3!I47),ParseTime(RunTime4!I47))/86400,"mm""m ""ss.00""s""") &amp; " ± " &amp; TEXT(_xlfn.STDEV.S(ParseTime(RunTime1!I47),ParseTime(RunTime2!I47),ParseTime(RunTime3!I47),ParseTime(RunTime4!I47))/86400,"mm""m ""ss.00""s""")</f>
        <v>00m 04.10s ± 00m 00.44s</v>
      </c>
      <c r="J47" t="str">
        <f>TEXT(AVERAGE(ParseTime(RunTime1!J47),ParseTime(RunTime2!J47),ParseTime(RunTime3!J47),ParseTime(RunTime4!J47))/86400,"mm""m ""ss.00""s""") &amp; " ± " &amp; TEXT(_xlfn.STDEV.S(ParseTime(RunTime1!J47),ParseTime(RunTime2!J47),ParseTime(RunTime3!J47),ParseTime(RunTime4!J47))/86400,"mm""m ""ss.00""s""")</f>
        <v>00m 03.85s ± 00m 00.05s</v>
      </c>
      <c r="K47" s="2">
        <f>AVERAGE(ParseTime(RunTime1!G47),ParseTime(RunTime2!G47),ParseTime(RunTime3!G47),ParseTime(RunTime4!G47))/AVERAGE(ParseTime(RunTime1!H47),ParseTime(RunTime2!H47),ParseTime(RunTime3!H47),ParseTime(RunTime4!H47))</f>
        <v>0.48599217676287132</v>
      </c>
      <c r="L47" s="2">
        <f>AVERAGE(ParseTime(RunTime1!F47),ParseTime(RunTime2!F47),ParseTime(RunTime3!F47),ParseTime(RunTime4!F47))
/
AVERAGE(ParseTime(RunTime1!G47),ParseTime(RunTime2!G47),ParseTime(RunTime3!G47),ParseTime(RunTime4!G47))</f>
        <v>7.6183380465521005</v>
      </c>
      <c r="M47" s="2">
        <f>AVERAGE(ParseTime(RunTime1!F47),ParseTime(RunTime2!F47),ParseTime(RunTime3!F47),ParseTime(RunTime4!F47))
/
AVERAGE(ParseTime(RunTime1!H47),ParseTime(RunTime2!H47),ParseTime(RunTime3!H47),ParseTime(RunTime4!H47))</f>
        <v>3.7024526905592561</v>
      </c>
      <c r="N47" s="2">
        <f>AVERAGE(ParseTime(RunTime1!I47),ParseTime(RunTime2!I47),ParseTime(RunTime3!I47),ParseTime(RunTime4!I47))/AVERAGE(ParseTime(RunTime1!J47),ParseTime(RunTime2!J47),ParseTime(RunTime3!J47),ParseTime(RunTime4!J47))</f>
        <v>1.0650253345459271</v>
      </c>
      <c r="O47" s="2">
        <f>AVERAGE(ParseTime(RunTime1!F47),ParseTime(RunTime2!F47),ParseTime(RunTime3!F47),ParseTime(RunTime4!F47))/AVERAGE(ParseTime(RunTime1!J47),ParseTime(RunTime2!J47),ParseTime(RunTime3!J47),ParseTime(RunTime4!J47))</f>
        <v>4.5500194881122527</v>
      </c>
      <c r="P47" s="2">
        <f>AVERAGE(ParseTime(RunTime1!F47),ParseTime(RunTime2!F47),ParseTime(RunTime3!F47),ParseTime(RunTime4!F47))/AVERAGE(ParseTime(RunTime1!I47),ParseTime(RunTime2!I47),ParseTime(RunTime3!I47),ParseTime(RunTime4!I47))</f>
        <v>4.2722171393717598</v>
      </c>
      <c r="Q47" s="2">
        <f>AVERAGE(ParseTime(RunTime1!H47),ParseTime(RunTime2!H47),ParseTime(RunTime3!H47),ParseTime(RunTime4!H47))/AVERAGE(ParseTime(RunTime1!J47),ParseTime(RunTime2!J47),ParseTime(RunTime3!J47),ParseTime(RunTime4!J47))</f>
        <v>1.2289203585812656</v>
      </c>
      <c r="R47" s="2">
        <f>AVERAGE(ParseTime(RunTime1!G47),ParseTime(RunTime2!G47),ParseTime(RunTime3!G47),ParseTime(RunTime4!G47))/AVERAGE(ParseTime(RunTime1!I47),ParseTime(RunTime2!I47),ParseTime(RunTime3!I47),ParseTime(RunTime4!I47))</f>
        <v>0.56078072583104599</v>
      </c>
      <c r="S47" s="2">
        <f>AVERAGE(ParseTime(RunTime1!H47),ParseTime(RunTime2!H47),ParseTime(RunTime3!H47),ParseTime(RunTime4!H47))/AVERAGE(ParseTime(RunTime1!I47),ParseTime(RunTime2!I47),ParseTime(RunTime3!I47),ParseTime(RunTime4!I47))</f>
        <v>1.1538883806038427</v>
      </c>
      <c r="T47" s="2">
        <f>AVERAGE(ParseTime(RunTime1!G47),ParseTime(RunTime2!G47),ParseTime(RunTime3!G47),ParseTime(RunTime4!G47))/AVERAGE(ParseTime(RunTime1!J47),ParseTime(RunTime2!J47),ParseTime(RunTime3!J47),ParseTime(RunTime4!J47))</f>
        <v>0.59724568013511758</v>
      </c>
      <c r="U4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RunTime1</vt:lpstr>
      <vt:lpstr>RunTime2</vt:lpstr>
      <vt:lpstr>RunTime3</vt:lpstr>
      <vt:lpstr>RunTime4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HiTecH</dc:creator>
  <cp:lastModifiedBy>HiTecH</cp:lastModifiedBy>
  <dcterms:created xsi:type="dcterms:W3CDTF">2026-09-17T19:26:45Z</dcterms:created>
  <dcterms:modified xsi:type="dcterms:W3CDTF">2026-09-18T03:17:33Z</dcterms:modified>
</cp:coreProperties>
</file>