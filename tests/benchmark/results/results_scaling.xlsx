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TecH\Downloads\VCF2FASTA_WORKINGCUDA\16-9-2026(fixing test errors)\benchmarking_results\Final benchmark results\"/>
    </mc:Choice>
  </mc:AlternateContent>
  <xr:revisionPtr revIDLastSave="0" documentId="13_ncr:1_{B7875229-6E6E-4735-B72D-51B872AAA458}" xr6:coauthVersionLast="47" xr6:coauthVersionMax="47" xr10:uidLastSave="{00000000-0000-0000-0000-000000000000}"/>
  <bookViews>
    <workbookView xWindow="-120" yWindow="-120" windowWidth="20730" windowHeight="11160" xr2:uid="{1A56326A-6FCD-4789-BB4C-8B3117261792}"/>
  </bookViews>
  <sheets>
    <sheet name="RunTime1" sheetId="1" r:id="rId1"/>
    <sheet name="RunTime2" sheetId="2" r:id="rId2"/>
    <sheet name="RunTime3" sheetId="3" r:id="rId3"/>
    <sheet name="RunTime4" sheetId="4" r:id="rId4"/>
    <sheet name="Combine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5" l="1"/>
  <c r="M7" i="5"/>
  <c r="M4" i="5"/>
  <c r="M5" i="5"/>
  <c r="M6" i="5"/>
  <c r="M2" i="5"/>
  <c r="L3" i="5"/>
  <c r="L7" i="5"/>
  <c r="L4" i="5"/>
  <c r="L5" i="5"/>
  <c r="L6" i="5"/>
  <c r="L2" i="5"/>
  <c r="K3" i="5"/>
  <c r="K4" i="5"/>
  <c r="K7" i="5"/>
  <c r="K5" i="5"/>
  <c r="K6" i="5"/>
  <c r="K2" i="5"/>
  <c r="J3" i="5"/>
  <c r="J7" i="5"/>
  <c r="J4" i="5"/>
  <c r="J5" i="5"/>
  <c r="J6" i="5"/>
  <c r="J2" i="5"/>
  <c r="I2" i="5"/>
  <c r="F3" i="5"/>
  <c r="G4" i="5"/>
  <c r="H5" i="5"/>
  <c r="F7" i="5"/>
  <c r="G7" i="5"/>
  <c r="G5" i="5"/>
  <c r="G3" i="5"/>
  <c r="H4" i="5"/>
  <c r="F6" i="5"/>
  <c r="H3" i="5"/>
  <c r="F5" i="5"/>
  <c r="G6" i="5"/>
  <c r="H7" i="5"/>
  <c r="F4" i="5"/>
  <c r="H6" i="5"/>
  <c r="G2" i="5"/>
  <c r="H2" i="5"/>
  <c r="F2" i="5"/>
  <c r="E2" i="5"/>
  <c r="I6" i="5"/>
  <c r="E5" i="5"/>
  <c r="I3" i="5"/>
  <c r="I7" i="5"/>
  <c r="E7" i="5"/>
  <c r="E4" i="5"/>
  <c r="I4" i="5"/>
  <c r="E6" i="5"/>
  <c r="I5" i="5"/>
  <c r="E3" i="5"/>
</calcChain>
</file>

<file path=xl/sharedStrings.xml><?xml version="1.0" encoding="utf-8"?>
<sst xmlns="http://schemas.openxmlformats.org/spreadsheetml/2006/main" count="266" uniqueCount="121">
  <si>
    <t>Chromosome</t>
  </si>
  <si>
    <t>Samples</t>
  </si>
  <si>
    <t>Mode</t>
  </si>
  <si>
    <t>Extraction_Time</t>
  </si>
  <si>
    <t>cpu_t1_time</t>
  </si>
  <si>
    <t>cpu_t2_time</t>
  </si>
  <si>
    <t>Notes</t>
  </si>
  <si>
    <t>chr22</t>
  </si>
  <si>
    <t>3m 37s 885ms</t>
  </si>
  <si>
    <t>28s 446ms</t>
  </si>
  <si>
    <t>26s 439ms</t>
  </si>
  <si>
    <t>Success</t>
  </si>
  <si>
    <t>3m 42s 332ms</t>
  </si>
  <si>
    <t>43s 516ms</t>
  </si>
  <si>
    <t>37s 922ms</t>
  </si>
  <si>
    <t>3m 44s 712ms</t>
  </si>
  <si>
    <t>1m 14s 995ms</t>
  </si>
  <si>
    <t>1m 17s 618ms</t>
  </si>
  <si>
    <t>3m 53s 911ms</t>
  </si>
  <si>
    <t>3m 17s 682ms</t>
  </si>
  <si>
    <t>2m 15s 823ms</t>
  </si>
  <si>
    <t>3m 58s 717ms</t>
  </si>
  <si>
    <t>4m 56s 775ms</t>
  </si>
  <si>
    <t>4m 36s 447ms</t>
  </si>
  <si>
    <t>4m 26s 775ms</t>
  </si>
  <si>
    <t>13m 8s 74ms</t>
  </si>
  <si>
    <t>12m 27s 165ms</t>
  </si>
  <si>
    <t>0s 0ms</t>
  </si>
  <si>
    <t>30s 221ms</t>
  </si>
  <si>
    <t>28s 263ms</t>
  </si>
  <si>
    <t>44s 20ms</t>
  </si>
  <si>
    <t>35s 39ms</t>
  </si>
  <si>
    <t>1m 18s 599ms</t>
  </si>
  <si>
    <t>1m 14s 160ms</t>
  </si>
  <si>
    <t>3m 21s 817ms</t>
  </si>
  <si>
    <t>2m 30s 385ms</t>
  </si>
  <si>
    <t>4m 34s 193ms</t>
  </si>
  <si>
    <t>4m 37s 941ms</t>
  </si>
  <si>
    <t>0m 0s 0ms</t>
  </si>
  <si>
    <t>13m 22s 124ms</t>
  </si>
  <si>
    <t>12m 56s 723ms</t>
  </si>
  <si>
    <t>24s 612ms</t>
  </si>
  <si>
    <t>27s 952ms</t>
  </si>
  <si>
    <t>40s 478ms</t>
  </si>
  <si>
    <t>40s 241ms</t>
  </si>
  <si>
    <t>1m 13s 821ms</t>
  </si>
  <si>
    <t>1m 17s 354ms</t>
  </si>
  <si>
    <t>2m 39s 110ms</t>
  </si>
  <si>
    <t>2m 30s 577ms</t>
  </si>
  <si>
    <t>4m 39s 279ms</t>
  </si>
  <si>
    <t>4m 48s 563ms</t>
  </si>
  <si>
    <t>13m 0s 564ms</t>
  </si>
  <si>
    <t>12m 38s 839ms</t>
  </si>
  <si>
    <t>25s 955ms</t>
  </si>
  <si>
    <t>23s 723ms</t>
  </si>
  <si>
    <t>41s 375ms</t>
  </si>
  <si>
    <t>42s 928ms</t>
  </si>
  <si>
    <t>1m 18s 480ms</t>
  </si>
  <si>
    <t>1m 28s 499ms</t>
  </si>
  <si>
    <t>2m 39s 339ms</t>
  </si>
  <si>
    <t>2m 35s 516ms</t>
  </si>
  <si>
    <t>4m 45s 556ms</t>
  </si>
  <si>
    <t>4m 41s 946ms</t>
  </si>
  <si>
    <t>13m 21s 140ms</t>
  </si>
  <si>
    <t>12m 32s 179ms</t>
  </si>
  <si>
    <t>cpu_t2 vs cpu_t1</t>
  </si>
  <si>
    <t>22s 673ms</t>
  </si>
  <si>
    <t>20s 84ms</t>
  </si>
  <si>
    <t>30s 99ms</t>
  </si>
  <si>
    <t>29s 809ms</t>
  </si>
  <si>
    <t>1m 4s 260ms</t>
  </si>
  <si>
    <t>1m 2s 354ms</t>
  </si>
  <si>
    <t>2m 9s 973ms</t>
  </si>
  <si>
    <t>2m 1s 254ms</t>
  </si>
  <si>
    <t>gpu_dev0_t1_time</t>
  </si>
  <si>
    <t>gpu_dev0_t2_time</t>
  </si>
  <si>
    <t>4m 4s 609ms</t>
  </si>
  <si>
    <t>4m 7s 569ms</t>
  </si>
  <si>
    <t>9m 56s 482ms</t>
  </si>
  <si>
    <t>9m 42s 862ms</t>
  </si>
  <si>
    <t>22s 588ms</t>
  </si>
  <si>
    <t>22s 307ms</t>
  </si>
  <si>
    <t>32s 421ms</t>
  </si>
  <si>
    <t>30s 780ms</t>
  </si>
  <si>
    <t>1m 2s 622ms</t>
  </si>
  <si>
    <t>59s 48ms</t>
  </si>
  <si>
    <t>2m 3s 840ms</t>
  </si>
  <si>
    <t>2m 6s 110ms</t>
  </si>
  <si>
    <t>4m 0s 331ms</t>
  </si>
  <si>
    <t>3m 43s 558ms</t>
  </si>
  <si>
    <t>9m 45s 421ms</t>
  </si>
  <si>
    <t>9m 34s 402ms</t>
  </si>
  <si>
    <t>23s 199ms</t>
  </si>
  <si>
    <t>20s 699ms</t>
  </si>
  <si>
    <t>31s 839ms</t>
  </si>
  <si>
    <t>30s 241ms</t>
  </si>
  <si>
    <t>1m 4s 99ms</t>
  </si>
  <si>
    <t>1m 2s 187ms</t>
  </si>
  <si>
    <t>2m 0s 366ms</t>
  </si>
  <si>
    <t>1m 52s 998ms</t>
  </si>
  <si>
    <t>4m 1s 582ms</t>
  </si>
  <si>
    <t>3m 47s 316ms</t>
  </si>
  <si>
    <t>9m 33s 315ms</t>
  </si>
  <si>
    <t>9m 47s 4ms</t>
  </si>
  <si>
    <t>22s 967ms</t>
  </si>
  <si>
    <t>20s 530ms</t>
  </si>
  <si>
    <t>30s 660ms</t>
  </si>
  <si>
    <t>30s 131ms</t>
  </si>
  <si>
    <t>1m 1s 666ms</t>
  </si>
  <si>
    <t>1m 3s 981ms</t>
  </si>
  <si>
    <t>2m 2s 200ms</t>
  </si>
  <si>
    <t>2m 4s 209ms</t>
  </si>
  <si>
    <t>3m 53s 477ms</t>
  </si>
  <si>
    <t>3m 42s 463ms</t>
  </si>
  <si>
    <t>9m 46s 496ms</t>
  </si>
  <si>
    <t>10m 3s 730ms</t>
  </si>
  <si>
    <t>speedup_gpu_t2_vs_cpu_t2</t>
  </si>
  <si>
    <t>speedup_gpu_t1_vs_cpu_t1</t>
  </si>
  <si>
    <t>speedup_gpu_t1_vs_cpu_t2</t>
  </si>
  <si>
    <t>speedup_gpu_t2_vs_cpu_t1</t>
  </si>
  <si>
    <t>cpu+gpu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</si>
</sst>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89A2-E7FA-499A-9582-F97D313BDD2E}">
  <sheetPr codeName="Sheet1"/>
  <dimension ref="A1:I7"/>
  <sheetViews>
    <sheetView tabSelected="1" workbookViewId="0">
      <selection activeCell="D6" sqref="D6"/>
    </sheetView>
  </sheetViews>
  <sheetFormatPr defaultRowHeight="15" x14ac:dyDescent="0.25"/>
  <cols>
    <col min="4" max="4" width="24" customWidth="1"/>
    <col min="5" max="5" width="26" customWidth="1"/>
    <col min="6" max="8" width="33.7109375" customWidth="1"/>
    <col min="9" max="9" width="27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75</v>
      </c>
      <c r="I1" t="s">
        <v>6</v>
      </c>
    </row>
    <row r="2" spans="1:9" x14ac:dyDescent="0.25">
      <c r="A2" t="s">
        <v>7</v>
      </c>
      <c r="B2">
        <v>10</v>
      </c>
      <c r="C2" t="s">
        <v>120</v>
      </c>
      <c r="D2" t="s">
        <v>8</v>
      </c>
      <c r="E2" t="s">
        <v>9</v>
      </c>
      <c r="F2" t="s">
        <v>10</v>
      </c>
      <c r="G2" t="s">
        <v>66</v>
      </c>
      <c r="H2" t="s">
        <v>67</v>
      </c>
      <c r="I2" t="s">
        <v>11</v>
      </c>
    </row>
    <row r="3" spans="1:9" x14ac:dyDescent="0.25">
      <c r="A3" t="s">
        <v>7</v>
      </c>
      <c r="B3">
        <v>20</v>
      </c>
      <c r="C3" t="s">
        <v>120</v>
      </c>
      <c r="D3" t="s">
        <v>12</v>
      </c>
      <c r="E3" t="s">
        <v>13</v>
      </c>
      <c r="F3" t="s">
        <v>14</v>
      </c>
      <c r="G3" t="s">
        <v>68</v>
      </c>
      <c r="H3" t="s">
        <v>69</v>
      </c>
      <c r="I3" t="s">
        <v>11</v>
      </c>
    </row>
    <row r="4" spans="1:9" x14ac:dyDescent="0.25">
      <c r="A4" t="s">
        <v>7</v>
      </c>
      <c r="B4">
        <v>50</v>
      </c>
      <c r="C4" t="s">
        <v>120</v>
      </c>
      <c r="D4" t="s">
        <v>15</v>
      </c>
      <c r="E4" t="s">
        <v>16</v>
      </c>
      <c r="F4" t="s">
        <v>17</v>
      </c>
      <c r="G4" t="s">
        <v>70</v>
      </c>
      <c r="H4" t="s">
        <v>71</v>
      </c>
      <c r="I4" t="s">
        <v>11</v>
      </c>
    </row>
    <row r="5" spans="1:9" x14ac:dyDescent="0.25">
      <c r="A5" t="s">
        <v>7</v>
      </c>
      <c r="B5">
        <v>100</v>
      </c>
      <c r="C5" t="s">
        <v>120</v>
      </c>
      <c r="D5" t="s">
        <v>18</v>
      </c>
      <c r="E5" t="s">
        <v>19</v>
      </c>
      <c r="F5" t="s">
        <v>20</v>
      </c>
      <c r="G5" t="s">
        <v>72</v>
      </c>
      <c r="H5" t="s">
        <v>73</v>
      </c>
      <c r="I5" t="s">
        <v>11</v>
      </c>
    </row>
    <row r="6" spans="1:9" x14ac:dyDescent="0.25">
      <c r="A6" t="s">
        <v>7</v>
      </c>
      <c r="B6">
        <v>200</v>
      </c>
      <c r="C6" t="s">
        <v>120</v>
      </c>
      <c r="D6" t="s">
        <v>21</v>
      </c>
      <c r="E6" t="s">
        <v>22</v>
      </c>
      <c r="F6" t="s">
        <v>23</v>
      </c>
      <c r="G6" t="s">
        <v>76</v>
      </c>
      <c r="H6" t="s">
        <v>77</v>
      </c>
      <c r="I6" t="s">
        <v>11</v>
      </c>
    </row>
    <row r="7" spans="1:9" x14ac:dyDescent="0.25">
      <c r="A7" t="s">
        <v>7</v>
      </c>
      <c r="B7">
        <v>500</v>
      </c>
      <c r="C7" t="s">
        <v>120</v>
      </c>
      <c r="D7" t="s">
        <v>24</v>
      </c>
      <c r="E7" t="s">
        <v>25</v>
      </c>
      <c r="F7" t="s">
        <v>26</v>
      </c>
      <c r="G7" t="s">
        <v>78</v>
      </c>
      <c r="H7" t="s">
        <v>79</v>
      </c>
      <c r="I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81B6-2DA8-4088-A525-B21E86F32D0B}">
  <sheetPr codeName="Sheet2"/>
  <dimension ref="A1:I7"/>
  <sheetViews>
    <sheetView workbookViewId="0">
      <selection activeCell="C2" sqref="C2:C7"/>
    </sheetView>
  </sheetViews>
  <sheetFormatPr defaultRowHeight="15" x14ac:dyDescent="0.25"/>
  <cols>
    <col min="5" max="5" width="32.85546875" customWidth="1"/>
    <col min="6" max="6" width="23.7109375" customWidth="1"/>
    <col min="7" max="7" width="21.140625" customWidth="1"/>
    <col min="8" max="8" width="23" customWidth="1"/>
    <col min="9" max="9" width="25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75</v>
      </c>
      <c r="I1" t="s">
        <v>6</v>
      </c>
    </row>
    <row r="2" spans="1:9" x14ac:dyDescent="0.25">
      <c r="A2" t="s">
        <v>7</v>
      </c>
      <c r="B2">
        <v>10</v>
      </c>
      <c r="C2" t="s">
        <v>120</v>
      </c>
      <c r="D2" t="s">
        <v>27</v>
      </c>
      <c r="E2" t="s">
        <v>28</v>
      </c>
      <c r="F2" t="s">
        <v>29</v>
      </c>
      <c r="G2" t="s">
        <v>80</v>
      </c>
      <c r="H2" t="s">
        <v>81</v>
      </c>
      <c r="I2" t="s">
        <v>11</v>
      </c>
    </row>
    <row r="3" spans="1:9" x14ac:dyDescent="0.25">
      <c r="A3" t="s">
        <v>7</v>
      </c>
      <c r="B3">
        <v>20</v>
      </c>
      <c r="C3" t="s">
        <v>120</v>
      </c>
      <c r="D3" t="s">
        <v>27</v>
      </c>
      <c r="E3" t="s">
        <v>30</v>
      </c>
      <c r="F3" t="s">
        <v>31</v>
      </c>
      <c r="G3" t="s">
        <v>82</v>
      </c>
      <c r="H3" t="s">
        <v>83</v>
      </c>
      <c r="I3" t="s">
        <v>11</v>
      </c>
    </row>
    <row r="4" spans="1:9" x14ac:dyDescent="0.25">
      <c r="A4" t="s">
        <v>7</v>
      </c>
      <c r="B4">
        <v>50</v>
      </c>
      <c r="C4" t="s">
        <v>120</v>
      </c>
      <c r="D4" t="s">
        <v>27</v>
      </c>
      <c r="E4" t="s">
        <v>32</v>
      </c>
      <c r="F4" t="s">
        <v>33</v>
      </c>
      <c r="G4" t="s">
        <v>84</v>
      </c>
      <c r="H4" t="s">
        <v>85</v>
      </c>
      <c r="I4" t="s">
        <v>11</v>
      </c>
    </row>
    <row r="5" spans="1:9" x14ac:dyDescent="0.25">
      <c r="A5" t="s">
        <v>7</v>
      </c>
      <c r="B5">
        <v>100</v>
      </c>
      <c r="C5" t="s">
        <v>120</v>
      </c>
      <c r="D5" t="s">
        <v>27</v>
      </c>
      <c r="E5" t="s">
        <v>34</v>
      </c>
      <c r="F5" t="s">
        <v>35</v>
      </c>
      <c r="G5" t="s">
        <v>86</v>
      </c>
      <c r="H5" t="s">
        <v>87</v>
      </c>
      <c r="I5" t="s">
        <v>11</v>
      </c>
    </row>
    <row r="6" spans="1:9" x14ac:dyDescent="0.25">
      <c r="A6" t="s">
        <v>7</v>
      </c>
      <c r="B6">
        <v>200</v>
      </c>
      <c r="C6" t="s">
        <v>120</v>
      </c>
      <c r="D6" t="s">
        <v>27</v>
      </c>
      <c r="E6" t="s">
        <v>36</v>
      </c>
      <c r="F6" t="s">
        <v>37</v>
      </c>
      <c r="G6" t="s">
        <v>88</v>
      </c>
      <c r="H6" t="s">
        <v>89</v>
      </c>
      <c r="I6" t="s">
        <v>11</v>
      </c>
    </row>
    <row r="7" spans="1:9" x14ac:dyDescent="0.25">
      <c r="A7" t="s">
        <v>7</v>
      </c>
      <c r="B7">
        <v>500</v>
      </c>
      <c r="C7" t="s">
        <v>120</v>
      </c>
      <c r="D7" t="s">
        <v>38</v>
      </c>
      <c r="E7" t="s">
        <v>39</v>
      </c>
      <c r="F7" t="s">
        <v>40</v>
      </c>
      <c r="G7" t="s">
        <v>90</v>
      </c>
      <c r="H7" t="s">
        <v>91</v>
      </c>
      <c r="I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C243-D97C-40D9-99B0-B4B399D5D5B7}">
  <sheetPr codeName="Sheet3"/>
  <dimension ref="A1:I7"/>
  <sheetViews>
    <sheetView workbookViewId="0">
      <selection activeCell="C2" sqref="C2:C7"/>
    </sheetView>
  </sheetViews>
  <sheetFormatPr defaultRowHeight="15" x14ac:dyDescent="0.25"/>
  <cols>
    <col min="5" max="5" width="29.85546875" customWidth="1"/>
    <col min="6" max="6" width="27.5703125" customWidth="1"/>
    <col min="7" max="7" width="29.5703125" customWidth="1"/>
    <col min="8" max="8" width="22" customWidth="1"/>
    <col min="9" max="9" width="28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75</v>
      </c>
      <c r="I1" t="s">
        <v>6</v>
      </c>
    </row>
    <row r="2" spans="1:9" x14ac:dyDescent="0.25">
      <c r="A2" t="s">
        <v>7</v>
      </c>
      <c r="B2">
        <v>10</v>
      </c>
      <c r="C2" t="s">
        <v>120</v>
      </c>
      <c r="D2" t="s">
        <v>27</v>
      </c>
      <c r="E2" t="s">
        <v>41</v>
      </c>
      <c r="F2" t="s">
        <v>42</v>
      </c>
      <c r="G2" t="s">
        <v>92</v>
      </c>
      <c r="H2" t="s">
        <v>93</v>
      </c>
      <c r="I2" t="s">
        <v>11</v>
      </c>
    </row>
    <row r="3" spans="1:9" x14ac:dyDescent="0.25">
      <c r="A3" t="s">
        <v>7</v>
      </c>
      <c r="B3">
        <v>20</v>
      </c>
      <c r="C3" t="s">
        <v>120</v>
      </c>
      <c r="D3" t="s">
        <v>27</v>
      </c>
      <c r="E3" t="s">
        <v>43</v>
      </c>
      <c r="F3" t="s">
        <v>44</v>
      </c>
      <c r="G3" t="s">
        <v>94</v>
      </c>
      <c r="H3" t="s">
        <v>95</v>
      </c>
      <c r="I3" t="s">
        <v>11</v>
      </c>
    </row>
    <row r="4" spans="1:9" x14ac:dyDescent="0.25">
      <c r="A4" t="s">
        <v>7</v>
      </c>
      <c r="B4">
        <v>50</v>
      </c>
      <c r="C4" t="s">
        <v>120</v>
      </c>
      <c r="D4" t="s">
        <v>27</v>
      </c>
      <c r="E4" t="s">
        <v>45</v>
      </c>
      <c r="F4" t="s">
        <v>46</v>
      </c>
      <c r="G4" t="s">
        <v>96</v>
      </c>
      <c r="H4" t="s">
        <v>97</v>
      </c>
      <c r="I4" t="s">
        <v>11</v>
      </c>
    </row>
    <row r="5" spans="1:9" x14ac:dyDescent="0.25">
      <c r="A5" t="s">
        <v>7</v>
      </c>
      <c r="B5">
        <v>100</v>
      </c>
      <c r="C5" t="s">
        <v>120</v>
      </c>
      <c r="D5" t="s">
        <v>27</v>
      </c>
      <c r="E5" t="s">
        <v>47</v>
      </c>
      <c r="F5" t="s">
        <v>48</v>
      </c>
      <c r="G5" t="s">
        <v>98</v>
      </c>
      <c r="H5" t="s">
        <v>99</v>
      </c>
      <c r="I5" t="s">
        <v>11</v>
      </c>
    </row>
    <row r="6" spans="1:9" x14ac:dyDescent="0.25">
      <c r="A6" t="s">
        <v>7</v>
      </c>
      <c r="B6">
        <v>200</v>
      </c>
      <c r="C6" t="s">
        <v>120</v>
      </c>
      <c r="D6" t="s">
        <v>27</v>
      </c>
      <c r="E6" t="s">
        <v>49</v>
      </c>
      <c r="F6" t="s">
        <v>50</v>
      </c>
      <c r="G6" t="s">
        <v>100</v>
      </c>
      <c r="H6" t="s">
        <v>101</v>
      </c>
      <c r="I6" t="s">
        <v>11</v>
      </c>
    </row>
    <row r="7" spans="1:9" x14ac:dyDescent="0.25">
      <c r="A7" t="s">
        <v>7</v>
      </c>
      <c r="B7">
        <v>500</v>
      </c>
      <c r="C7" t="s">
        <v>120</v>
      </c>
      <c r="D7" t="s">
        <v>38</v>
      </c>
      <c r="E7" t="s">
        <v>51</v>
      </c>
      <c r="F7" t="s">
        <v>52</v>
      </c>
      <c r="G7" t="s">
        <v>102</v>
      </c>
      <c r="H7" t="s">
        <v>103</v>
      </c>
      <c r="I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27E7-11A3-43CB-8477-7BCD9C3ADB90}">
  <sheetPr codeName="Sheet4"/>
  <dimension ref="A1:I7"/>
  <sheetViews>
    <sheetView workbookViewId="0">
      <selection activeCell="C2" sqref="C2:C7"/>
    </sheetView>
  </sheetViews>
  <sheetFormatPr defaultRowHeight="15" x14ac:dyDescent="0.25"/>
  <cols>
    <col min="4" max="4" width="23" customWidth="1"/>
    <col min="5" max="5" width="23.7109375" customWidth="1"/>
    <col min="6" max="6" width="29" customWidth="1"/>
    <col min="7" max="7" width="23.85546875" customWidth="1"/>
    <col min="8" max="8" width="27.28515625" customWidth="1"/>
    <col min="9" max="9" width="24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75</v>
      </c>
      <c r="I1" t="s">
        <v>6</v>
      </c>
    </row>
    <row r="2" spans="1:9" x14ac:dyDescent="0.25">
      <c r="A2" t="s">
        <v>7</v>
      </c>
      <c r="B2">
        <v>10</v>
      </c>
      <c r="C2" t="s">
        <v>120</v>
      </c>
      <c r="D2" t="s">
        <v>27</v>
      </c>
      <c r="E2" t="s">
        <v>53</v>
      </c>
      <c r="F2" t="s">
        <v>54</v>
      </c>
      <c r="G2" t="s">
        <v>104</v>
      </c>
      <c r="H2" t="s">
        <v>105</v>
      </c>
      <c r="I2" t="s">
        <v>11</v>
      </c>
    </row>
    <row r="3" spans="1:9" x14ac:dyDescent="0.25">
      <c r="A3" t="s">
        <v>7</v>
      </c>
      <c r="B3">
        <v>20</v>
      </c>
      <c r="C3" t="s">
        <v>120</v>
      </c>
      <c r="D3" t="s">
        <v>27</v>
      </c>
      <c r="E3" t="s">
        <v>55</v>
      </c>
      <c r="F3" t="s">
        <v>56</v>
      </c>
      <c r="G3" t="s">
        <v>106</v>
      </c>
      <c r="H3" t="s">
        <v>107</v>
      </c>
      <c r="I3" t="s">
        <v>11</v>
      </c>
    </row>
    <row r="4" spans="1:9" x14ac:dyDescent="0.25">
      <c r="A4" t="s">
        <v>7</v>
      </c>
      <c r="B4">
        <v>50</v>
      </c>
      <c r="C4" t="s">
        <v>120</v>
      </c>
      <c r="D4" t="s">
        <v>27</v>
      </c>
      <c r="E4" t="s">
        <v>57</v>
      </c>
      <c r="F4" t="s">
        <v>58</v>
      </c>
      <c r="G4" t="s">
        <v>108</v>
      </c>
      <c r="H4" t="s">
        <v>109</v>
      </c>
      <c r="I4" t="s">
        <v>11</v>
      </c>
    </row>
    <row r="5" spans="1:9" x14ac:dyDescent="0.25">
      <c r="A5" t="s">
        <v>7</v>
      </c>
      <c r="B5">
        <v>100</v>
      </c>
      <c r="C5" t="s">
        <v>120</v>
      </c>
      <c r="D5" t="s">
        <v>27</v>
      </c>
      <c r="E5" t="s">
        <v>59</v>
      </c>
      <c r="F5" t="s">
        <v>60</v>
      </c>
      <c r="G5" t="s">
        <v>110</v>
      </c>
      <c r="H5" t="s">
        <v>111</v>
      </c>
      <c r="I5" t="s">
        <v>11</v>
      </c>
    </row>
    <row r="6" spans="1:9" x14ac:dyDescent="0.25">
      <c r="A6" t="s">
        <v>7</v>
      </c>
      <c r="B6">
        <v>200</v>
      </c>
      <c r="C6" t="s">
        <v>120</v>
      </c>
      <c r="D6" t="s">
        <v>27</v>
      </c>
      <c r="E6" t="s">
        <v>61</v>
      </c>
      <c r="F6" t="s">
        <v>62</v>
      </c>
      <c r="G6" t="s">
        <v>112</v>
      </c>
      <c r="H6" t="s">
        <v>113</v>
      </c>
      <c r="I6" t="s">
        <v>11</v>
      </c>
    </row>
    <row r="7" spans="1:9" x14ac:dyDescent="0.25">
      <c r="A7" t="s">
        <v>7</v>
      </c>
      <c r="B7">
        <v>500</v>
      </c>
      <c r="C7" t="s">
        <v>120</v>
      </c>
      <c r="D7" t="s">
        <v>38</v>
      </c>
      <c r="E7" t="s">
        <v>63</v>
      </c>
      <c r="F7" t="s">
        <v>64</v>
      </c>
      <c r="G7" t="s">
        <v>114</v>
      </c>
      <c r="H7" t="s">
        <v>115</v>
      </c>
      <c r="I7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D473-9015-4BCF-881F-9C381F52CD32}">
  <sheetPr codeName="Sheet5"/>
  <dimension ref="A1:N7"/>
  <sheetViews>
    <sheetView workbookViewId="0">
      <selection activeCell="C2" sqref="C2:C7"/>
    </sheetView>
  </sheetViews>
  <sheetFormatPr defaultRowHeight="15" x14ac:dyDescent="0.25"/>
  <cols>
    <col min="5" max="5" width="38.85546875" customWidth="1"/>
    <col min="6" max="13" width="38.140625" customWidth="1"/>
    <col min="14" max="14" width="9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75</v>
      </c>
      <c r="I1" t="s">
        <v>65</v>
      </c>
      <c r="J1" t="s">
        <v>116</v>
      </c>
      <c r="K1" t="s">
        <v>117</v>
      </c>
      <c r="L1" t="s">
        <v>118</v>
      </c>
      <c r="M1" t="s">
        <v>119</v>
      </c>
      <c r="N1" t="s">
        <v>6</v>
      </c>
    </row>
    <row r="2" spans="1:14" x14ac:dyDescent="0.25">
      <c r="A2" t="s">
        <v>7</v>
      </c>
      <c r="B2">
        <v>10</v>
      </c>
      <c r="C2" t="s">
        <v>120</v>
      </c>
      <c r="D2" t="s">
        <v>27</v>
      </c>
      <c r="E2" t="str">
        <f>TEXT(AVERAGE(ParseTime(RunTime1!E2),ParseTime(RunTime2!E2),ParseTime(RunTime3!E2),ParseTime(RunTime4!E2))/86400,"mm""m ""ss.00""s""") &amp; " ± " &amp; TEXT(_xlfn.STDEV.S(ParseTime(RunTime1!E2),ParseTime(RunTime2!E2),ParseTime(RunTime3!E2),ParseTime(RunTime4!E2))/86400,"mm""m ""ss.00""s""")</f>
        <v>00m 27.31s ± 00m 02.51s</v>
      </c>
      <c r="F2" t="str">
        <f>TEXT(AVERAGE(ParseTime(RunTime1!F2),ParseTime(RunTime2!F2),ParseTime(RunTime3!F2),ParseTime(RunTime4!F2))/86400,"mm""m ""ss.00""s""") &amp; " ± " &amp; TEXT(_xlfn.STDEV.S(ParseTime(RunTime1!F2),ParseTime(RunTime2!F2),ParseTime(RunTime3!F2),ParseTime(RunTime4!F2))/86400,"mm""m ""ss.00""s""")</f>
        <v>00m 26.59s ± 00m 02.07s</v>
      </c>
      <c r="G2" t="str">
        <f>TEXT(AVERAGE(ParseTime(RunTime1!G2),ParseTime(RunTime2!G2),ParseTime(RunTime3!G2),ParseTime(RunTime4!G2))/86400,"mm""m ""ss.00""s""") &amp; " ± " &amp; TEXT(_xlfn.STDEV.S(ParseTime(RunTime1!G2),ParseTime(RunTime2!G2),ParseTime(RunTime3!G2),ParseTime(RunTime4!G2))/86400,"mm""m ""ss.00""s""")</f>
        <v>00m 22.86s ± 00m 00.28s</v>
      </c>
      <c r="H2" t="str">
        <f>TEXT(AVERAGE(ParseTime(RunTime1!H2),ParseTime(RunTime2!H2),ParseTime(RunTime3!H2),ParseTime(RunTime4!H2))/86400,"mm""m ""ss.00""s""") &amp; " ± " &amp; TEXT(_xlfn.STDEV.S(ParseTime(RunTime1!H2),ParseTime(RunTime2!H2),ParseTime(RunTime3!H2),ParseTime(RunTime4!H2))/86400,"mm""m ""ss.00""s""")</f>
        <v>00m 20.91s ± 00m 00.97s</v>
      </c>
      <c r="I2" s="1">
        <f>AVERAGE(ParseTime(RunTime1!E2),ParseTime(RunTime2!E2),ParseTime(RunTime3!E2),ParseTime(RunTime4!E2))/AVERAGE(ParseTime(RunTime1!F2),ParseTime(RunTime2!F2),ParseTime(RunTime3!F2),ParseTime(RunTime4!F2))</f>
        <v>1.0268573093807871</v>
      </c>
      <c r="J2" s="1">
        <f>AVERAGE(ParseTime(RunTime1!F2),ParseTime(RunTime2!F2),ParseTime(RunTime3!F2),ParseTime(RunTime4!F2))/AVERAGE(ParseTime(RunTime1!H2),ParseTime(RunTime2!H2),ParseTime(RunTime3!H2),ParseTime(RunTime4!H2))</f>
        <v>1.2721478115283424</v>
      </c>
      <c r="K2" s="1">
        <f>AVERAGE(ParseTime(RunTime1!E2),ParseTime(RunTime2!E2),ParseTime(RunTime3!E2),ParseTime(RunTime4!E2))/AVERAGE(ParseTime(RunTime1!G2),ParseTime(RunTime2!G2),ParseTime(RunTime3!G2),ParseTime(RunTime4!G2))</f>
        <v>1.1947674100648604</v>
      </c>
      <c r="L2" s="1">
        <f>AVERAGE(ParseTime(RunTime1!F2),ParseTime(RunTime2!F2),ParseTime(RunTime3!F2),ParseTime(RunTime4!F2))/AVERAGE(ParseTime(RunTime1!G2),ParseTime(RunTime2!G2),ParseTime(RunTime3!G2),ParseTime(RunTime4!G2))</f>
        <v>1.1635184354731098</v>
      </c>
      <c r="M2" s="1">
        <f>AVERAGE(ParseTime(RunTime1!E2),ParseTime(RunTime2!E2),ParseTime(RunTime3!E2),ParseTime(RunTime4!E2))/AVERAGE(ParseTime(RunTime1!H2),ParseTime(RunTime2!H2),ParseTime(RunTime3!H2),ParseTime(RunTime4!H2))</f>
        <v>1.3063142788806503</v>
      </c>
      <c r="N2" t="s">
        <v>11</v>
      </c>
    </row>
    <row r="3" spans="1:14" x14ac:dyDescent="0.25">
      <c r="A3" t="s">
        <v>7</v>
      </c>
      <c r="B3">
        <v>20</v>
      </c>
      <c r="C3" t="s">
        <v>120</v>
      </c>
      <c r="D3" t="s">
        <v>27</v>
      </c>
      <c r="E3" t="str">
        <f>TEXT(AVERAGE(ParseTime(RunTime1!E3),ParseTime(RunTime2!E3),ParseTime(RunTime3!E3),ParseTime(RunTime4!E3))/86400,"mm""m ""ss.00""s""") &amp; " ± " &amp; TEXT(_xlfn.STDEV.S(ParseTime(RunTime1!E3),ParseTime(RunTime2!E3),ParseTime(RunTime3!E3),ParseTime(RunTime4!E3))/86400,"mm""m ""ss.00""s""")</f>
        <v>00m 42.35s ± 00m 01.69s</v>
      </c>
      <c r="F3" t="str">
        <f>TEXT(AVERAGE(ParseTime(RunTime1!F3),ParseTime(RunTime2!F3),ParseTime(RunTime3!F3),ParseTime(RunTime4!F3))/86400,"mm""m ""ss.00""s""") &amp; " ± " &amp; TEXT(_xlfn.STDEV.S(ParseTime(RunTime1!F3),ParseTime(RunTime2!F3),ParseTime(RunTime3!F3),ParseTime(RunTime4!F3))/86400,"mm""m ""ss.00""s""")</f>
        <v>00m 39.03s ± 00m 03.36s</v>
      </c>
      <c r="G3" t="str">
        <f>TEXT(AVERAGE(ParseTime(RunTime1!G3),ParseTime(RunTime2!G3),ParseTime(RunTime3!G3),ParseTime(RunTime4!G3))/86400,"mm""m ""ss.00""s""") &amp; " ± " &amp; TEXT(_xlfn.STDEV.S(ParseTime(RunTime1!G3),ParseTime(RunTime2!G3),ParseTime(RunTime3!G3),ParseTime(RunTime4!G3))/86400,"mm""m ""ss.00""s""")</f>
        <v>00m 31.25s ± 00m 01.06s</v>
      </c>
      <c r="H3" t="str">
        <f>TEXT(AVERAGE(ParseTime(RunTime1!H3),ParseTime(RunTime2!H3),ParseTime(RunTime3!H3),ParseTime(RunTime4!H3))/86400,"mm""m ""ss.00""s""") &amp; " ± " &amp; TEXT(_xlfn.STDEV.S(ParseTime(RunTime1!H3),ParseTime(RunTime2!H3),ParseTime(RunTime3!H3),ParseTime(RunTime4!H3))/86400,"mm""m ""ss.00""s""")</f>
        <v>00m 30.24s ± 00m 00.40s</v>
      </c>
      <c r="I3" s="1">
        <f>AVERAGE(ParseTime(RunTime1!E3),ParseTime(RunTime2!E3),ParseTime(RunTime3!E3),ParseTime(RunTime4!E3))
/
AVERAGE(ParseTime(RunTime1!F3),ParseTime(RunTime2!F3),ParseTime(RunTime3!F3),ParseTime(RunTime4!F3))</f>
        <v>1.084922820726318</v>
      </c>
      <c r="J3" s="1">
        <f>AVERAGE(ParseTime(RunTime1!F3),ParseTime(RunTime2!F3),ParseTime(RunTime3!F3),ParseTime(RunTime4!F3))/AVERAGE(ParseTime(RunTime1!H3),ParseTime(RunTime2!H3),ParseTime(RunTime3!H3),ParseTime(RunTime4!H3))</f>
        <v>1.2907466042774116</v>
      </c>
      <c r="K3" s="1">
        <f>AVERAGE(ParseTime(RunTime1!E3),ParseTime(RunTime2!E3),ParseTime(RunTime3!E3),ParseTime(RunTime4!E3))/AVERAGE(ParseTime(RunTime1!G3),ParseTime(RunTime2!G3),ParseTime(RunTime3!G3),ParseTime(RunTime4!G3))</f>
        <v>1.3549060542797497</v>
      </c>
      <c r="L3" s="1">
        <f>AVERAGE(ParseTime(RunTime1!F3),ParseTime(RunTime2!F3),ParseTime(RunTime3!F3),ParseTime(RunTime4!F3))/AVERAGE(ParseTime(RunTime1!G3),ParseTime(RunTime2!G3),ParseTime(RunTime3!G3),ParseTime(RunTime4!G3))</f>
        <v>1.2488501747734344</v>
      </c>
      <c r="M3" s="1">
        <f>AVERAGE(ParseTime(RunTime1!E3),ParseTime(RunTime2!E3),ParseTime(RunTime3!E3),ParseTime(RunTime4!E3))/AVERAGE(ParseTime(RunTime1!H3),ParseTime(RunTime2!H3),ParseTime(RunTime3!H3),ParseTime(RunTime4!H3))</f>
        <v>1.4003604467555659</v>
      </c>
      <c r="N3" t="s">
        <v>11</v>
      </c>
    </row>
    <row r="4" spans="1:14" x14ac:dyDescent="0.25">
      <c r="A4" t="s">
        <v>7</v>
      </c>
      <c r="B4">
        <v>50</v>
      </c>
      <c r="C4" t="s">
        <v>120</v>
      </c>
      <c r="D4" t="s">
        <v>27</v>
      </c>
      <c r="E4" t="str">
        <f>TEXT(AVERAGE(ParseTime(RunTime1!E4),ParseTime(RunTime2!E4),ParseTime(RunTime3!E4),ParseTime(RunTime4!E4))/86400,"mm""m ""ss.00""s""") &amp; " ± " &amp; TEXT(_xlfn.STDEV.S(ParseTime(RunTime1!E4),ParseTime(RunTime2!E4),ParseTime(RunTime3!E4),ParseTime(RunTime4!E4))/86400,"mm""m ""ss.00""s""")</f>
        <v>01m 16.47s ± 00m 02.43s</v>
      </c>
      <c r="F4" t="str">
        <f>TEXT(AVERAGE(ParseTime(RunTime1!F4),ParseTime(RunTime2!F4),ParseTime(RunTime3!F4),ParseTime(RunTime4!F4))/86400,"mm""m ""ss.00""s""") &amp; " ± " &amp; TEXT(_xlfn.STDEV.S(ParseTime(RunTime1!F4),ParseTime(RunTime2!F4),ParseTime(RunTime3!F4),ParseTime(RunTime4!F4))/86400,"mm""m ""ss.00""s""")</f>
        <v>01m 19.41s ± 00m 06.26s</v>
      </c>
      <c r="G4" t="str">
        <f>TEXT(AVERAGE(ParseTime(RunTime1!G4),ParseTime(RunTime2!G4),ParseTime(RunTime3!G4),ParseTime(RunTime4!G4))/86400,"mm""m ""ss.00""s""") &amp; " ± " &amp; TEXT(_xlfn.STDEV.S(ParseTime(RunTime1!G4),ParseTime(RunTime2!G4),ParseTime(RunTime3!G4),ParseTime(RunTime4!G4))/86400,"mm""m ""ss.00""s""")</f>
        <v>01m 03.16s ± 00m 01.24s</v>
      </c>
      <c r="H4" t="str">
        <f>TEXT(AVERAGE(ParseTime(RunTime1!H4),ParseTime(RunTime2!H4),ParseTime(RunTime3!H4),ParseTime(RunTime4!H4))/86400,"mm""m ""ss.00""s""") &amp; " ± " &amp; TEXT(_xlfn.STDEV.S(ParseTime(RunTime1!H4),ParseTime(RunTime2!H4),ParseTime(RunTime3!H4),ParseTime(RunTime4!H4))/86400,"mm""m ""ss.00""s""")</f>
        <v>01m 01.89s ± 00m 02.06s</v>
      </c>
      <c r="I4" s="1">
        <f>AVERAGE(ParseTime(RunTime1!E4),ParseTime(RunTime2!E4),ParseTime(RunTime3!E4),ParseTime(RunTime4!E4))
/
AVERAGE(ParseTime(RunTime1!F4),ParseTime(RunTime2!F4),ParseTime(RunTime3!F4),ParseTime(RunTime4!F4))</f>
        <v>0.9630514653796387</v>
      </c>
      <c r="J4" s="1">
        <f>AVERAGE(ParseTime(RunTime1!F4),ParseTime(RunTime2!F4),ParseTime(RunTime3!F4),ParseTime(RunTime4!F4))/AVERAGE(ParseTime(RunTime1!H4),ParseTime(RunTime2!H4),ParseTime(RunTime3!H4),ParseTime(RunTime4!H4))</f>
        <v>1.2829947085672739</v>
      </c>
      <c r="K4" s="1">
        <f>AVERAGE(ParseTime(RunTime1!E4),ParseTime(RunTime2!E4),ParseTime(RunTime3!E4),ParseTime(RunTime4!E4))/AVERAGE(ParseTime(RunTime1!G4),ParseTime(RunTime2!G4),ParseTime(RunTime3!G4),ParseTime(RunTime4!G4))</f>
        <v>1.2107604681630892</v>
      </c>
      <c r="L4" s="1">
        <f>AVERAGE(ParseTime(RunTime1!F4),ParseTime(RunTime2!F4),ParseTime(RunTime3!F4),ParseTime(RunTime4!F4))/AVERAGE(ParseTime(RunTime1!G4),ParseTime(RunTime2!G4),ParseTime(RunTime3!G4),ParseTime(RunTime4!G4))</f>
        <v>1.2572126326455488</v>
      </c>
      <c r="M4" s="1">
        <f>AVERAGE(ParseTime(RunTime1!E4),ParseTime(RunTime2!E4),ParseTime(RunTime3!E4),ParseTime(RunTime4!E4))/AVERAGE(ParseTime(RunTime1!H4),ParseTime(RunTime2!H4),ParseTime(RunTime3!H4),ParseTime(RunTime4!H4))</f>
        <v>1.2355899341600356</v>
      </c>
      <c r="N4" t="s">
        <v>11</v>
      </c>
    </row>
    <row r="5" spans="1:14" x14ac:dyDescent="0.25">
      <c r="A5" t="s">
        <v>7</v>
      </c>
      <c r="B5">
        <v>100</v>
      </c>
      <c r="C5" t="s">
        <v>120</v>
      </c>
      <c r="D5" t="s">
        <v>27</v>
      </c>
      <c r="E5" t="str">
        <f>TEXT(AVERAGE(ParseTime(RunTime1!E5),ParseTime(RunTime2!E5),ParseTime(RunTime3!E5),ParseTime(RunTime4!E5))/86400,"mm""m ""ss.00""s""") &amp; " ± " &amp; TEXT(_xlfn.STDEV.S(ParseTime(RunTime1!E5),ParseTime(RunTime2!E5),ParseTime(RunTime3!E5),ParseTime(RunTime4!E5))/86400,"mm""m ""ss.00""s""")</f>
        <v>02m 59.49s ± 00m 23.46s</v>
      </c>
      <c r="F5" t="str">
        <f>TEXT(AVERAGE(ParseTime(RunTime1!F5),ParseTime(RunTime2!F5),ParseTime(RunTime3!F5),ParseTime(RunTime4!F5))/86400,"mm""m ""ss.00""s""") &amp; " ± " &amp; TEXT(_xlfn.STDEV.S(ParseTime(RunTime1!F5),ParseTime(RunTime2!F5),ParseTime(RunTime3!F5),ParseTime(RunTime4!F5))/86400,"mm""m ""ss.00""s""")</f>
        <v>02m 28.08s ± 00m 08.51s</v>
      </c>
      <c r="G5" t="str">
        <f>TEXT(AVERAGE(ParseTime(RunTime1!G5),ParseTime(RunTime2!G5),ParseTime(RunTime3!G5),ParseTime(RunTime4!G5))/86400,"mm""m ""ss.00""s""") &amp; " ± " &amp; TEXT(_xlfn.STDEV.S(ParseTime(RunTime1!G5),ParseTime(RunTime2!G5),ParseTime(RunTime3!G5),ParseTime(RunTime4!G5))/86400,"mm""m ""ss.00""s""")</f>
        <v>02m 04.09s ± 00m 04.17s</v>
      </c>
      <c r="H5" t="str">
        <f>TEXT(AVERAGE(ParseTime(RunTime1!H5),ParseTime(RunTime2!H5),ParseTime(RunTime3!H5),ParseTime(RunTime4!H5))/86400,"mm""m ""ss.00""s""") &amp; " ± " &amp; TEXT(_xlfn.STDEV.S(ParseTime(RunTime1!H5),ParseTime(RunTime2!H5),ParseTime(RunTime3!H5),ParseTime(RunTime4!H5))/86400,"mm""m ""ss.00""s""")</f>
        <v>02m 01.14s ± 00m 05.79s</v>
      </c>
      <c r="I5" s="1">
        <f>AVERAGE(ParseTime(RunTime1!E5),ParseTime(RunTime2!E5),ParseTime(RunTime3!E5),ParseTime(RunTime4!E5))
/
AVERAGE(ParseTime(RunTime1!F5),ParseTime(RunTime2!F5),ParseTime(RunTime3!F5),ParseTime(RunTime4!F5))</f>
        <v>1.2121336955365603</v>
      </c>
      <c r="J5" s="1">
        <f>AVERAGE(ParseTime(RunTime1!F5),ParseTime(RunTime2!F5),ParseTime(RunTime3!F5),ParseTime(RunTime4!F5))/AVERAGE(ParseTime(RunTime1!H5),ParseTime(RunTime2!H5),ParseTime(RunTime3!H5),ParseTime(RunTime4!H5))</f>
        <v>1.2223203617220177</v>
      </c>
      <c r="K5" s="1">
        <f>AVERAGE(ParseTime(RunTime1!E5),ParseTime(RunTime2!E5),ParseTime(RunTime3!E5),ParseTime(RunTime4!E5))/AVERAGE(ParseTime(RunTime1!G5),ParseTime(RunTime2!G5),ParseTime(RunTime3!G5),ParseTime(RunTime4!G5))</f>
        <v>1.4463706160010799</v>
      </c>
      <c r="L5" s="1">
        <f>AVERAGE(ParseTime(RunTime1!F5),ParseTime(RunTime2!F5),ParseTime(RunTime3!F5),ParseTime(RunTime4!F5))/AVERAGE(ParseTime(RunTime1!G5),ParseTime(RunTime2!G5),ParseTime(RunTime3!G5),ParseTime(RunTime4!G5))</f>
        <v>1.1932434692039751</v>
      </c>
      <c r="M5" s="1">
        <f>AVERAGE(ParseTime(RunTime1!E5),ParseTime(RunTime2!E5),ParseTime(RunTime3!E5),ParseTime(RunTime4!E5))/AVERAGE(ParseTime(RunTime1!H5),ParseTime(RunTime2!H5),ParseTime(RunTime3!H5),ParseTime(RunTime4!H5))</f>
        <v>1.4816156971836945</v>
      </c>
      <c r="N5" t="s">
        <v>11</v>
      </c>
    </row>
    <row r="6" spans="1:14" x14ac:dyDescent="0.25">
      <c r="A6" t="s">
        <v>7</v>
      </c>
      <c r="B6">
        <v>200</v>
      </c>
      <c r="C6" t="s">
        <v>120</v>
      </c>
      <c r="D6" t="s">
        <v>27</v>
      </c>
      <c r="E6" t="str">
        <f>TEXT(AVERAGE(ParseTime(RunTime1!E6),ParseTime(RunTime2!E6),ParseTime(RunTime3!E6),ParseTime(RunTime4!E6))/86400,"mm""m ""ss.00""s""") &amp; " ± " &amp; TEXT(_xlfn.STDEV.S(ParseTime(RunTime1!E6),ParseTime(RunTime2!E6),ParseTime(RunTime3!E6),ParseTime(RunTime4!E6))/86400,"mm""m ""ss.00""s""")</f>
        <v>04m 43.95s ± 00m 09.73s</v>
      </c>
      <c r="F6" t="str">
        <f>TEXT(AVERAGE(ParseTime(RunTime1!F6),ParseTime(RunTime2!F6),ParseTime(RunTime3!F6),ParseTime(RunTime4!F6))/86400,"mm""m ""ss.00""s""") &amp; " ± " &amp; TEXT(_xlfn.STDEV.S(ParseTime(RunTime1!F6),ParseTime(RunTime2!F6),ParseTime(RunTime3!F6),ParseTime(RunTime4!F6))/86400,"mm""m ""ss.00""s""")</f>
        <v>04m 41.22s ± 00m 05.42s</v>
      </c>
      <c r="G6" t="str">
        <f>TEXT(AVERAGE(ParseTime(RunTime1!G6),ParseTime(RunTime2!G6),ParseTime(RunTime3!G6),ParseTime(RunTime4!G6))/86400,"mm""m ""ss.00""s""") &amp; " ± " &amp; TEXT(_xlfn.STDEV.S(ParseTime(RunTime1!G6),ParseTime(RunTime2!G6),ParseTime(RunTime3!G6),ParseTime(RunTime4!G6))/86400,"mm""m ""ss.00""s""")</f>
        <v>04m 00.00s ± 00m 04.70s</v>
      </c>
      <c r="H6" t="str">
        <f>TEXT(AVERAGE(ParseTime(RunTime1!H6),ParseTime(RunTime2!H6),ParseTime(RunTime3!H6),ParseTime(RunTime4!H6))/86400,"mm""m ""ss.00""s""") &amp; " ± " &amp; TEXT(_xlfn.STDEV.S(ParseTime(RunTime1!H6),ParseTime(RunTime2!H6),ParseTime(RunTime3!H6),ParseTime(RunTime4!H6))/86400,"mm""m ""ss.00""s""")</f>
        <v>03m 50.23s ± 00m 11.75s</v>
      </c>
      <c r="I6" s="1">
        <f>AVERAGE(ParseTime(RunTime1!E6),ParseTime(RunTime2!E6),ParseTime(RunTime3!E6),ParseTime(RunTime4!E6))
/
AVERAGE(ParseTime(RunTime1!F6),ParseTime(RunTime2!F6),ParseTime(RunTime3!F6),ParseTime(RunTime4!F6))</f>
        <v>1.0096951098633919</v>
      </c>
      <c r="J6" s="1">
        <f>AVERAGE(ParseTime(RunTime1!F6),ParseTime(RunTime2!F6),ParseTime(RunTime3!F6),ParseTime(RunTime4!F6))/AVERAGE(ParseTime(RunTime1!H6),ParseTime(RunTime2!H6),ParseTime(RunTime3!H6),ParseTime(RunTime4!H6))</f>
        <v>1.2215112074413674</v>
      </c>
      <c r="K6" s="1">
        <f>AVERAGE(ParseTime(RunTime1!E6),ParseTime(RunTime2!E6),ParseTime(RunTime3!E6),ParseTime(RunTime4!E6))/AVERAGE(ParseTime(RunTime1!G6),ParseTime(RunTime2!G6),ParseTime(RunTime3!G6),ParseTime(RunTime4!G6))</f>
        <v>1.1831293574264139</v>
      </c>
      <c r="L6" s="1">
        <f>AVERAGE(ParseTime(RunTime1!F6),ParseTime(RunTime2!F6),ParseTime(RunTime3!F6),ParseTime(RunTime4!F6))/AVERAGE(ParseTime(RunTime1!G6),ParseTime(RunTime2!G6),ParseTime(RunTime3!G6),ParseTime(RunTime4!G6))</f>
        <v>1.1717689289259676</v>
      </c>
      <c r="M6" s="1">
        <f>AVERAGE(ParseTime(RunTime1!E6),ParseTime(RunTime2!E6),ParseTime(RunTime3!E6),ParseTime(RunTime4!E6))/AVERAGE(ParseTime(RunTime1!H6),ParseTime(RunTime2!H6),ParseTime(RunTime3!H6),ParseTime(RunTime4!H6))</f>
        <v>1.2333538927968761</v>
      </c>
      <c r="N6" t="s">
        <v>11</v>
      </c>
    </row>
    <row r="7" spans="1:14" x14ac:dyDescent="0.25">
      <c r="A7" t="s">
        <v>7</v>
      </c>
      <c r="B7">
        <v>500</v>
      </c>
      <c r="C7" t="s">
        <v>120</v>
      </c>
      <c r="D7" t="s">
        <v>38</v>
      </c>
      <c r="E7" t="str">
        <f>TEXT(AVERAGE(ParseTime(RunTime1!E7),ParseTime(RunTime2!E7),ParseTime(RunTime3!E7),ParseTime(RunTime4!E7))/86400,"mm""m ""ss.00""s""") &amp; " ± " &amp; TEXT(_xlfn.STDEV.S(ParseTime(RunTime1!E7),ParseTime(RunTime2!E7),ParseTime(RunTime3!E7),ParseTime(RunTime4!E7))/86400,"mm""m ""ss.00""s""")</f>
        <v>13m 12.98s ± 00m 10.46s</v>
      </c>
      <c r="F7" t="str">
        <f>TEXT(AVERAGE(ParseTime(RunTime1!F7),ParseTime(RunTime2!F7),ParseTime(RunTime3!F7),ParseTime(RunTime4!F7))/86400,"mm""m ""ss.00""s""") &amp; " ± " &amp; TEXT(_xlfn.STDEV.S(ParseTime(RunTime1!F7),ParseTime(RunTime2!F7),ParseTime(RunTime3!F7),ParseTime(RunTime4!F7))/86400,"mm""m ""ss.00""s""")</f>
        <v>12m 38.73s ± 00m 12.92s</v>
      </c>
      <c r="G7" t="str">
        <f>TEXT(AVERAGE(ParseTime(RunTime1!G7),ParseTime(RunTime2!G7),ParseTime(RunTime3!G7),ParseTime(RunTime4!G7))/86400,"mm""m ""ss.00""s""") &amp; " ± " &amp; TEXT(_xlfn.STDEV.S(ParseTime(RunTime1!G7),ParseTime(RunTime2!G7),ParseTime(RunTime3!G7),ParseTime(RunTime4!G7))/86400,"mm""m ""ss.00""s""")</f>
        <v>09m 45.43s ± 00m 09.49s</v>
      </c>
      <c r="H7" t="str">
        <f>TEXT(AVERAGE(ParseTime(RunTime1!H7),ParseTime(RunTime2!H7),ParseTime(RunTime3!H7),ParseTime(RunTime4!H7))/86400,"mm""m ""ss.00""s""") &amp; " ± " &amp; TEXT(_xlfn.STDEV.S(ParseTime(RunTime1!H7),ParseTime(RunTime2!H7),ParseTime(RunTime3!H7),ParseTime(RunTime4!H7))/86400,"mm""m ""ss.00""s""")</f>
        <v>09m 47.00s ± 00m 12.33s</v>
      </c>
      <c r="I7" s="1">
        <f>AVERAGE(ParseTime(RunTime1!E7),ParseTime(RunTime2!E7),ParseTime(RunTime3!E7),ParseTime(RunTime4!E7))
/
AVERAGE(ParseTime(RunTime1!F7),ParseTime(RunTime2!F7),ParseTime(RunTime3!F7),ParseTime(RunTime4!F7))</f>
        <v>1.0451401130710471</v>
      </c>
      <c r="J7" s="1">
        <f>AVERAGE(ParseTime(RunTime1!F7),ParseTime(RunTime2!F7),ParseTime(RunTime3!F7),ParseTime(RunTime4!F7))/AVERAGE(ParseTime(RunTime1!H7),ParseTime(RunTime2!H7),ParseTime(RunTime3!H7),ParseTime(RunTime4!H7))</f>
        <v>1.2925505047278574</v>
      </c>
      <c r="K7" s="1">
        <f>AVERAGE(ParseTime(RunTime1!E7),ParseTime(RunTime2!E7),ParseTime(RunTime3!E7),ParseTime(RunTime4!E7))/AVERAGE(ParseTime(RunTime1!G7),ParseTime(RunTime2!G7),ParseTime(RunTime3!G7),ParseTime(RunTime4!G7))</f>
        <v>1.3545215171451337</v>
      </c>
      <c r="L7" s="1">
        <f>AVERAGE(ParseTime(RunTime1!F7),ParseTime(RunTime2!F7),ParseTime(RunTime3!F7),ParseTime(RunTime4!F7))/AVERAGE(ParseTime(RunTime1!G7),ParseTime(RunTime2!G7),ParseTime(RunTime3!G7),ParseTime(RunTime4!G7))</f>
        <v>1.2960190697924683</v>
      </c>
      <c r="M7" s="1">
        <f>AVERAGE(ParseTime(RunTime1!E7),ParseTime(RunTime2!E7),ParseTime(RunTime3!E7),ParseTime(RunTime4!E7))/AVERAGE(ParseTime(RunTime1!H7),ParseTime(RunTime2!H7),ParseTime(RunTime3!H7),ParseTime(RunTime4!H7))</f>
        <v>1.3508963806613121</v>
      </c>
      <c r="N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RunTime1</vt:lpstr>
      <vt:lpstr>RunTime2</vt:lpstr>
      <vt:lpstr>RunTime3</vt:lpstr>
      <vt:lpstr>RunTime4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HiTecH</dc:creator>
  <cp:lastModifiedBy>HiTecH</cp:lastModifiedBy>
  <dcterms:created xsi:type="dcterms:W3CDTF">2026-09-17T20:34:25Z</dcterms:created>
  <dcterms:modified xsi:type="dcterms:W3CDTF">2026-09-18T03:41:11Z</dcterms:modified>
</cp:coreProperties>
</file>