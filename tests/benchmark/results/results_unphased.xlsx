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iTecH\Downloads\VCF2FASTA_WORKINGCUDA\16-9-2026(fixing test errors)\benchmarking_results\Final benchmark results\"/>
    </mc:Choice>
  </mc:AlternateContent>
  <xr:revisionPtr revIDLastSave="0" documentId="13_ncr:1_{B01FFA68-1731-4012-8EFD-09BA507F6E92}" xr6:coauthVersionLast="47" xr6:coauthVersionMax="47" xr10:uidLastSave="{00000000-0000-0000-0000-000000000000}"/>
  <bookViews>
    <workbookView xWindow="-120" yWindow="-120" windowWidth="20730" windowHeight="11160" activeTab="4" xr2:uid="{7017E590-4B0E-4954-B251-6BD1730BD4A1}"/>
  </bookViews>
  <sheets>
    <sheet name="RunTime1" sheetId="1" r:id="rId1"/>
    <sheet name="RunTime2" sheetId="2" r:id="rId2"/>
    <sheet name="RunTime3" sheetId="3" r:id="rId3"/>
    <sheet name="RunTime4" sheetId="4" r:id="rId4"/>
    <sheet name="Combined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5" l="1"/>
  <c r="M4" i="5"/>
  <c r="M5" i="5"/>
  <c r="M6" i="5"/>
  <c r="M2" i="5"/>
  <c r="L3" i="5"/>
  <c r="L4" i="5"/>
  <c r="L6" i="5"/>
  <c r="L5" i="5"/>
  <c r="L2" i="5"/>
  <c r="K3" i="5"/>
  <c r="K5" i="5"/>
  <c r="K4" i="5"/>
  <c r="K6" i="5"/>
  <c r="K2" i="5"/>
  <c r="J3" i="5"/>
  <c r="J4" i="5"/>
  <c r="J5" i="5"/>
  <c r="J6" i="5"/>
  <c r="J2" i="5"/>
  <c r="I3" i="5"/>
  <c r="I4" i="5"/>
  <c r="I5" i="5"/>
  <c r="I6" i="5"/>
  <c r="I2" i="5"/>
  <c r="F3" i="5"/>
  <c r="G4" i="5"/>
  <c r="H5" i="5"/>
  <c r="G3" i="5"/>
  <c r="H4" i="5"/>
  <c r="F6" i="5"/>
  <c r="H3" i="5"/>
  <c r="F5" i="5"/>
  <c r="G6" i="5"/>
  <c r="G5" i="5"/>
  <c r="H6" i="5"/>
  <c r="F4" i="5"/>
  <c r="G2" i="5"/>
  <c r="H2" i="5"/>
  <c r="E2" i="5"/>
  <c r="E3" i="5"/>
  <c r="F2" i="5"/>
  <c r="E5" i="5"/>
  <c r="E6" i="5"/>
  <c r="E4" i="5"/>
</calcChain>
</file>

<file path=xl/sharedStrings.xml><?xml version="1.0" encoding="utf-8"?>
<sst xmlns="http://schemas.openxmlformats.org/spreadsheetml/2006/main" count="205" uniqueCount="101">
  <si>
    <t>Dataset</t>
  </si>
  <si>
    <t>Samples</t>
  </si>
  <si>
    <t>Chromosomes</t>
  </si>
  <si>
    <t>Mode</t>
  </si>
  <si>
    <t>cpu_t1_time</t>
  </si>
  <si>
    <t>cpu_t2_time</t>
  </si>
  <si>
    <t>Notes</t>
  </si>
  <si>
    <t>tiny</t>
  </si>
  <si>
    <t>2s 939ms</t>
  </si>
  <si>
    <t>2s 845ms</t>
  </si>
  <si>
    <t>Success</t>
  </si>
  <si>
    <t>3s 969ms</t>
  </si>
  <si>
    <t>2s 567ms</t>
  </si>
  <si>
    <t>3s 427ms</t>
  </si>
  <si>
    <t>4s 574ms</t>
  </si>
  <si>
    <t>3s 495ms</t>
  </si>
  <si>
    <t>4s 7ms</t>
  </si>
  <si>
    <t>small</t>
  </si>
  <si>
    <t>4s 602ms</t>
  </si>
  <si>
    <t>7s 446ms</t>
  </si>
  <si>
    <t>4s 675ms</t>
  </si>
  <si>
    <t>6s 84ms</t>
  </si>
  <si>
    <t>4s 520ms</t>
  </si>
  <si>
    <t>6s 93ms</t>
  </si>
  <si>
    <t>4s 573ms</t>
  </si>
  <si>
    <t>4s 603ms</t>
  </si>
  <si>
    <t>medium</t>
  </si>
  <si>
    <t>10s 759ms</t>
  </si>
  <si>
    <t>10s 248ms</t>
  </si>
  <si>
    <t>8s 987ms</t>
  </si>
  <si>
    <t>10s 379ms</t>
  </si>
  <si>
    <t>11s 686ms</t>
  </si>
  <si>
    <t>12s 72ms</t>
  </si>
  <si>
    <t>10s 333ms</t>
  </si>
  <si>
    <t>12s 186ms</t>
  </si>
  <si>
    <t>larger</t>
  </si>
  <si>
    <t>33s 13ms</t>
  </si>
  <si>
    <t>34s 711ms</t>
  </si>
  <si>
    <t>31s 105ms</t>
  </si>
  <si>
    <t>33s 670ms</t>
  </si>
  <si>
    <t>35s 533ms</t>
  </si>
  <si>
    <t>33s 134ms</t>
  </si>
  <si>
    <t>29s 893ms</t>
  </si>
  <si>
    <t>29s 125ms</t>
  </si>
  <si>
    <t>ploidy_edge</t>
  </si>
  <si>
    <t>31s 854ms</t>
  </si>
  <si>
    <t>29s 940ms</t>
  </si>
  <si>
    <t>30s 573ms</t>
  </si>
  <si>
    <t>31s 67ms</t>
  </si>
  <si>
    <t>30s 938ms</t>
  </si>
  <si>
    <t>30s 447ms</t>
  </si>
  <si>
    <t>30s 575ms</t>
  </si>
  <si>
    <t>30s 796ms</t>
  </si>
  <si>
    <t>cpu_t2 vs cpu_t1</t>
  </si>
  <si>
    <t>gpu_dev0_t1_time</t>
  </si>
  <si>
    <t>gpu_dev0_t2_time</t>
  </si>
  <si>
    <t>3s 99ms</t>
  </si>
  <si>
    <t>4s 342ms</t>
  </si>
  <si>
    <t>2s 668ms</t>
  </si>
  <si>
    <t>2s 616ms</t>
  </si>
  <si>
    <t>2s 718ms</t>
  </si>
  <si>
    <t>2s 661ms</t>
  </si>
  <si>
    <t>3s 816ms</t>
  </si>
  <si>
    <t>2s 717ms</t>
  </si>
  <si>
    <t>4s 463ms</t>
  </si>
  <si>
    <t>5s 669ms</t>
  </si>
  <si>
    <t>4s 334ms</t>
  </si>
  <si>
    <t>5s 224ms</t>
  </si>
  <si>
    <t>4s 254ms</t>
  </si>
  <si>
    <t>5s 426ms</t>
  </si>
  <si>
    <t>4s 755ms</t>
  </si>
  <si>
    <t>5s 308ms</t>
  </si>
  <si>
    <t>13s 212ms</t>
  </si>
  <si>
    <t>10s 368ms</t>
  </si>
  <si>
    <t>10s 357ms</t>
  </si>
  <si>
    <t>9s 935ms</t>
  </si>
  <si>
    <t>10s 126ms</t>
  </si>
  <si>
    <t>12s 365ms</t>
  </si>
  <si>
    <t>8s 934ms</t>
  </si>
  <si>
    <t>9s 919ms</t>
  </si>
  <si>
    <t>28s 199ms</t>
  </si>
  <si>
    <t>31s 602ms</t>
  </si>
  <si>
    <t>26s 930ms</t>
  </si>
  <si>
    <t>31s 488ms</t>
  </si>
  <si>
    <t>25s 850ms</t>
  </si>
  <si>
    <t>39s 342ms</t>
  </si>
  <si>
    <t>37s 724ms</t>
  </si>
  <si>
    <t>29s 273ms</t>
  </si>
  <si>
    <t>23s 972ms</t>
  </si>
  <si>
    <t>22s 108ms</t>
  </si>
  <si>
    <t>22s 9ms</t>
  </si>
  <si>
    <t>23s 323ms</t>
  </si>
  <si>
    <t>22s 47ms</t>
  </si>
  <si>
    <t>21s 879ms</t>
  </si>
  <si>
    <t>22s 80ms</t>
  </si>
  <si>
    <t>21s 549ms</t>
  </si>
  <si>
    <t>speedup_gpu_t2_vs_cpu_t2</t>
  </si>
  <si>
    <t>speedup_gpu_t1_vs_cpu_t1</t>
  </si>
  <si>
    <t>speedup_gpu_t1_vs_cpu_t2</t>
  </si>
  <si>
    <t>speedup_gpu_t2_vs_cpu_t1</t>
  </si>
  <si>
    <t>cpu+gpu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</si>
</sst>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x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506A4-8737-4811-992E-E79278583CEC}">
  <sheetPr codeName="Sheet1"/>
  <dimension ref="A1:I6"/>
  <sheetViews>
    <sheetView workbookViewId="0">
      <selection activeCell="D2" sqref="D2:D6"/>
    </sheetView>
  </sheetViews>
  <sheetFormatPr defaultRowHeight="15" x14ac:dyDescent="0.25"/>
  <cols>
    <col min="1" max="1" width="20" customWidth="1"/>
    <col min="2" max="2" width="16.42578125" customWidth="1"/>
    <col min="3" max="3" width="19.85546875" customWidth="1"/>
    <col min="4" max="4" width="13.140625" customWidth="1"/>
    <col min="5" max="5" width="19.42578125" customWidth="1"/>
    <col min="6" max="8" width="24.140625" customWidth="1"/>
    <col min="9" max="9" width="23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54</v>
      </c>
      <c r="H1" t="s">
        <v>55</v>
      </c>
      <c r="I1" t="s">
        <v>6</v>
      </c>
    </row>
    <row r="2" spans="1:9" x14ac:dyDescent="0.25">
      <c r="A2" t="s">
        <v>7</v>
      </c>
      <c r="B2">
        <v>4</v>
      </c>
      <c r="C2">
        <v>3</v>
      </c>
      <c r="D2" t="s">
        <v>100</v>
      </c>
      <c r="E2" t="s">
        <v>8</v>
      </c>
      <c r="F2" t="s">
        <v>9</v>
      </c>
      <c r="G2" t="s">
        <v>56</v>
      </c>
      <c r="H2" t="s">
        <v>57</v>
      </c>
      <c r="I2" t="s">
        <v>10</v>
      </c>
    </row>
    <row r="3" spans="1:9" x14ac:dyDescent="0.25">
      <c r="A3" t="s">
        <v>17</v>
      </c>
      <c r="B3">
        <v>8</v>
      </c>
      <c r="C3">
        <v>6</v>
      </c>
      <c r="D3" t="s">
        <v>100</v>
      </c>
      <c r="E3" t="s">
        <v>18</v>
      </c>
      <c r="F3" t="s">
        <v>19</v>
      </c>
      <c r="G3" t="s">
        <v>64</v>
      </c>
      <c r="H3" t="s">
        <v>65</v>
      </c>
      <c r="I3" t="s">
        <v>10</v>
      </c>
    </row>
    <row r="4" spans="1:9" x14ac:dyDescent="0.25">
      <c r="A4" t="s">
        <v>26</v>
      </c>
      <c r="B4">
        <v>50</v>
      </c>
      <c r="C4">
        <v>6</v>
      </c>
      <c r="D4" t="s">
        <v>100</v>
      </c>
      <c r="E4" t="s">
        <v>27</v>
      </c>
      <c r="F4" t="s">
        <v>28</v>
      </c>
      <c r="G4" t="s">
        <v>72</v>
      </c>
      <c r="H4" t="s">
        <v>73</v>
      </c>
      <c r="I4" t="s">
        <v>10</v>
      </c>
    </row>
    <row r="5" spans="1:9" x14ac:dyDescent="0.25">
      <c r="A5" t="s">
        <v>35</v>
      </c>
      <c r="B5">
        <v>100</v>
      </c>
      <c r="C5">
        <v>10</v>
      </c>
      <c r="D5" t="s">
        <v>100</v>
      </c>
      <c r="E5" t="s">
        <v>36</v>
      </c>
      <c r="F5" t="s">
        <v>37</v>
      </c>
      <c r="G5" t="s">
        <v>80</v>
      </c>
      <c r="H5" t="s">
        <v>81</v>
      </c>
      <c r="I5" t="s">
        <v>10</v>
      </c>
    </row>
    <row r="6" spans="1:9" x14ac:dyDescent="0.25">
      <c r="A6" t="s">
        <v>44</v>
      </c>
      <c r="B6">
        <v>4</v>
      </c>
      <c r="C6">
        <v>4</v>
      </c>
      <c r="D6" t="s">
        <v>100</v>
      </c>
      <c r="E6" t="s">
        <v>45</v>
      </c>
      <c r="F6" t="s">
        <v>46</v>
      </c>
      <c r="G6" t="s">
        <v>88</v>
      </c>
      <c r="H6" t="s">
        <v>89</v>
      </c>
      <c r="I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A3E58-E58B-45DE-903F-25927EF49256}">
  <sheetPr codeName="Sheet2"/>
  <dimension ref="A1:I6"/>
  <sheetViews>
    <sheetView workbookViewId="0">
      <selection activeCell="D2" sqref="D2:D6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54</v>
      </c>
      <c r="H1" t="s">
        <v>55</v>
      </c>
      <c r="I1" t="s">
        <v>6</v>
      </c>
    </row>
    <row r="2" spans="1:9" x14ac:dyDescent="0.25">
      <c r="A2" t="s">
        <v>7</v>
      </c>
      <c r="B2">
        <v>4</v>
      </c>
      <c r="C2">
        <v>3</v>
      </c>
      <c r="D2" t="s">
        <v>100</v>
      </c>
      <c r="E2" t="s">
        <v>11</v>
      </c>
      <c r="F2" t="s">
        <v>12</v>
      </c>
      <c r="G2" t="s">
        <v>58</v>
      </c>
      <c r="H2" t="s">
        <v>59</v>
      </c>
      <c r="I2" t="s">
        <v>10</v>
      </c>
    </row>
    <row r="3" spans="1:9" x14ac:dyDescent="0.25">
      <c r="A3" t="s">
        <v>17</v>
      </c>
      <c r="B3">
        <v>8</v>
      </c>
      <c r="C3">
        <v>6</v>
      </c>
      <c r="D3" t="s">
        <v>100</v>
      </c>
      <c r="E3" t="s">
        <v>20</v>
      </c>
      <c r="F3" t="s">
        <v>21</v>
      </c>
      <c r="G3" t="s">
        <v>66</v>
      </c>
      <c r="H3" t="s">
        <v>67</v>
      </c>
      <c r="I3" t="s">
        <v>10</v>
      </c>
    </row>
    <row r="4" spans="1:9" x14ac:dyDescent="0.25">
      <c r="A4" t="s">
        <v>26</v>
      </c>
      <c r="B4">
        <v>50</v>
      </c>
      <c r="C4">
        <v>6</v>
      </c>
      <c r="D4" t="s">
        <v>100</v>
      </c>
      <c r="E4" t="s">
        <v>29</v>
      </c>
      <c r="F4" t="s">
        <v>30</v>
      </c>
      <c r="G4" t="s">
        <v>74</v>
      </c>
      <c r="H4" t="s">
        <v>75</v>
      </c>
      <c r="I4" t="s">
        <v>10</v>
      </c>
    </row>
    <row r="5" spans="1:9" x14ac:dyDescent="0.25">
      <c r="A5" t="s">
        <v>35</v>
      </c>
      <c r="B5">
        <v>100</v>
      </c>
      <c r="C5">
        <v>10</v>
      </c>
      <c r="D5" t="s">
        <v>100</v>
      </c>
      <c r="E5" t="s">
        <v>38</v>
      </c>
      <c r="F5" t="s">
        <v>39</v>
      </c>
      <c r="G5" t="s">
        <v>82</v>
      </c>
      <c r="H5" t="s">
        <v>83</v>
      </c>
      <c r="I5" t="s">
        <v>10</v>
      </c>
    </row>
    <row r="6" spans="1:9" x14ac:dyDescent="0.25">
      <c r="A6" t="s">
        <v>44</v>
      </c>
      <c r="B6">
        <v>4</v>
      </c>
      <c r="C6">
        <v>4</v>
      </c>
      <c r="D6" t="s">
        <v>100</v>
      </c>
      <c r="E6" t="s">
        <v>47</v>
      </c>
      <c r="F6" t="s">
        <v>48</v>
      </c>
      <c r="G6" t="s">
        <v>90</v>
      </c>
      <c r="H6" t="s">
        <v>91</v>
      </c>
      <c r="I6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7E8A0-A785-42A9-971B-CB8F137D0B19}">
  <sheetPr codeName="Sheet3"/>
  <dimension ref="A1:I6"/>
  <sheetViews>
    <sheetView workbookViewId="0">
      <selection activeCell="D2" sqref="D2:D6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54</v>
      </c>
      <c r="H1" t="s">
        <v>55</v>
      </c>
      <c r="I1" t="s">
        <v>6</v>
      </c>
    </row>
    <row r="2" spans="1:9" x14ac:dyDescent="0.25">
      <c r="A2" t="s">
        <v>7</v>
      </c>
      <c r="B2">
        <v>4</v>
      </c>
      <c r="C2">
        <v>3</v>
      </c>
      <c r="D2" t="s">
        <v>100</v>
      </c>
      <c r="E2" t="s">
        <v>13</v>
      </c>
      <c r="F2" t="s">
        <v>14</v>
      </c>
      <c r="G2" t="s">
        <v>60</v>
      </c>
      <c r="H2" t="s">
        <v>61</v>
      </c>
      <c r="I2" t="s">
        <v>10</v>
      </c>
    </row>
    <row r="3" spans="1:9" x14ac:dyDescent="0.25">
      <c r="A3" t="s">
        <v>17</v>
      </c>
      <c r="B3">
        <v>8</v>
      </c>
      <c r="C3">
        <v>6</v>
      </c>
      <c r="D3" t="s">
        <v>100</v>
      </c>
      <c r="E3" t="s">
        <v>22</v>
      </c>
      <c r="F3" t="s">
        <v>23</v>
      </c>
      <c r="G3" t="s">
        <v>68</v>
      </c>
      <c r="H3" t="s">
        <v>69</v>
      </c>
      <c r="I3" t="s">
        <v>10</v>
      </c>
    </row>
    <row r="4" spans="1:9" x14ac:dyDescent="0.25">
      <c r="A4" t="s">
        <v>26</v>
      </c>
      <c r="B4">
        <v>50</v>
      </c>
      <c r="C4">
        <v>6</v>
      </c>
      <c r="D4" t="s">
        <v>100</v>
      </c>
      <c r="E4" t="s">
        <v>31</v>
      </c>
      <c r="F4" t="s">
        <v>32</v>
      </c>
      <c r="G4" t="s">
        <v>76</v>
      </c>
      <c r="H4" t="s">
        <v>77</v>
      </c>
      <c r="I4" t="s">
        <v>10</v>
      </c>
    </row>
    <row r="5" spans="1:9" x14ac:dyDescent="0.25">
      <c r="A5" t="s">
        <v>35</v>
      </c>
      <c r="B5">
        <v>100</v>
      </c>
      <c r="C5">
        <v>10</v>
      </c>
      <c r="D5" t="s">
        <v>100</v>
      </c>
      <c r="E5" t="s">
        <v>40</v>
      </c>
      <c r="F5" t="s">
        <v>41</v>
      </c>
      <c r="G5" t="s">
        <v>84</v>
      </c>
      <c r="H5" t="s">
        <v>85</v>
      </c>
      <c r="I5" t="s">
        <v>10</v>
      </c>
    </row>
    <row r="6" spans="1:9" x14ac:dyDescent="0.25">
      <c r="A6" t="s">
        <v>44</v>
      </c>
      <c r="B6">
        <v>4</v>
      </c>
      <c r="C6">
        <v>4</v>
      </c>
      <c r="D6" t="s">
        <v>100</v>
      </c>
      <c r="E6" t="s">
        <v>49</v>
      </c>
      <c r="F6" t="s">
        <v>50</v>
      </c>
      <c r="G6" t="s">
        <v>92</v>
      </c>
      <c r="H6" t="s">
        <v>93</v>
      </c>
      <c r="I6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B58DE-81FF-4CEE-9E5E-659909544564}">
  <sheetPr codeName="Sheet4"/>
  <dimension ref="A1:I6"/>
  <sheetViews>
    <sheetView workbookViewId="0">
      <selection activeCell="D2" sqref="D2:D6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54</v>
      </c>
      <c r="H1" t="s">
        <v>55</v>
      </c>
      <c r="I1" t="s">
        <v>6</v>
      </c>
    </row>
    <row r="2" spans="1:9" x14ac:dyDescent="0.25">
      <c r="A2" t="s">
        <v>7</v>
      </c>
      <c r="B2">
        <v>4</v>
      </c>
      <c r="C2">
        <v>3</v>
      </c>
      <c r="D2" t="s">
        <v>100</v>
      </c>
      <c r="E2" t="s">
        <v>15</v>
      </c>
      <c r="F2" t="s">
        <v>16</v>
      </c>
      <c r="G2" t="s">
        <v>62</v>
      </c>
      <c r="H2" t="s">
        <v>63</v>
      </c>
      <c r="I2" t="s">
        <v>10</v>
      </c>
    </row>
    <row r="3" spans="1:9" x14ac:dyDescent="0.25">
      <c r="A3" t="s">
        <v>17</v>
      </c>
      <c r="B3">
        <v>8</v>
      </c>
      <c r="C3">
        <v>6</v>
      </c>
      <c r="D3" t="s">
        <v>100</v>
      </c>
      <c r="E3" t="s">
        <v>24</v>
      </c>
      <c r="F3" t="s">
        <v>25</v>
      </c>
      <c r="G3" t="s">
        <v>70</v>
      </c>
      <c r="H3" t="s">
        <v>71</v>
      </c>
      <c r="I3" t="s">
        <v>10</v>
      </c>
    </row>
    <row r="4" spans="1:9" x14ac:dyDescent="0.25">
      <c r="A4" t="s">
        <v>26</v>
      </c>
      <c r="B4">
        <v>50</v>
      </c>
      <c r="C4">
        <v>6</v>
      </c>
      <c r="D4" t="s">
        <v>100</v>
      </c>
      <c r="E4" t="s">
        <v>33</v>
      </c>
      <c r="F4" t="s">
        <v>34</v>
      </c>
      <c r="G4" t="s">
        <v>78</v>
      </c>
      <c r="H4" t="s">
        <v>79</v>
      </c>
      <c r="I4" t="s">
        <v>10</v>
      </c>
    </row>
    <row r="5" spans="1:9" x14ac:dyDescent="0.25">
      <c r="A5" t="s">
        <v>35</v>
      </c>
      <c r="B5">
        <v>100</v>
      </c>
      <c r="C5">
        <v>10</v>
      </c>
      <c r="D5" t="s">
        <v>100</v>
      </c>
      <c r="E5" t="s">
        <v>42</v>
      </c>
      <c r="F5" t="s">
        <v>43</v>
      </c>
      <c r="G5" t="s">
        <v>86</v>
      </c>
      <c r="H5" t="s">
        <v>87</v>
      </c>
      <c r="I5" t="s">
        <v>10</v>
      </c>
    </row>
    <row r="6" spans="1:9" x14ac:dyDescent="0.25">
      <c r="A6" t="s">
        <v>44</v>
      </c>
      <c r="B6">
        <v>4</v>
      </c>
      <c r="C6">
        <v>4</v>
      </c>
      <c r="D6" t="s">
        <v>100</v>
      </c>
      <c r="E6" t="s">
        <v>51</v>
      </c>
      <c r="F6" t="s">
        <v>52</v>
      </c>
      <c r="G6" t="s">
        <v>94</v>
      </c>
      <c r="H6" t="s">
        <v>95</v>
      </c>
      <c r="I6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962A-977C-44DC-A63B-E17700526253}">
  <sheetPr codeName="Sheet5"/>
  <dimension ref="A1:N6"/>
  <sheetViews>
    <sheetView tabSelected="1" workbookViewId="0">
      <selection activeCell="F9" sqref="F9"/>
    </sheetView>
  </sheetViews>
  <sheetFormatPr defaultRowHeight="15" x14ac:dyDescent="0.25"/>
  <cols>
    <col min="4" max="4" width="19.5703125" customWidth="1"/>
    <col min="5" max="5" width="23.7109375" customWidth="1"/>
    <col min="6" max="7" width="22.5703125" customWidth="1"/>
    <col min="8" max="8" width="44.140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54</v>
      </c>
      <c r="H1" t="s">
        <v>55</v>
      </c>
      <c r="I1" t="s">
        <v>53</v>
      </c>
      <c r="J1" t="s">
        <v>96</v>
      </c>
      <c r="K1" t="s">
        <v>97</v>
      </c>
      <c r="L1" t="s">
        <v>98</v>
      </c>
      <c r="M1" t="s">
        <v>99</v>
      </c>
      <c r="N1" t="s">
        <v>6</v>
      </c>
    </row>
    <row r="2" spans="1:14" x14ac:dyDescent="0.25">
      <c r="A2" t="s">
        <v>7</v>
      </c>
      <c r="B2">
        <v>4</v>
      </c>
      <c r="C2">
        <v>3</v>
      </c>
      <c r="D2" t="s">
        <v>100</v>
      </c>
      <c r="E2" t="str">
        <f>TEXT(AVERAGE(ParseTime(RunTime1!E2),ParseTime(RunTime2!E2),ParseTime(RunTime3!E2),ParseTime(RunTime4!E2))/86400,"mm""m ""ss.00""s""") &amp; " ± " &amp; TEXT(_xlfn.STDEV.S(ParseTime(RunTime1!E2),ParseTime(RunTime2!E2),ParseTime(RunTime3!E2),ParseTime(RunTime4!E2))/86400,"mm""m ""ss.00""s""")</f>
        <v>00m 03.46s ± 00m 00.42s</v>
      </c>
      <c r="F2" t="str">
        <f>TEXT(AVERAGE(ParseTime(RunTime1!F2),ParseTime(RunTime2!F2),ParseTime(RunTime3!F2),ParseTime(RunTime4!F2))/86400,"mm""m ""ss.00""s""") &amp; " ± " &amp; TEXT(_xlfn.STDEV.S(ParseTime(RunTime1!F2),ParseTime(RunTime2!F2),ParseTime(RunTime3!F2),ParseTime(RunTime4!F2))/86400,"mm""m ""ss.00""s""")</f>
        <v>00m 03.50s ± 00m 00.95s</v>
      </c>
      <c r="G2" t="str">
        <f>TEXT(AVERAGE(ParseTime(RunTime1!G2),ParseTime(RunTime2!G2),ParseTime(RunTime3!G2),ParseTime(RunTime4!G2))/86400,"mm""m ""ss.00""s""") &amp; " ± " &amp; TEXT(_xlfn.STDEV.S(ParseTime(RunTime1!G2),ParseTime(RunTime2!G2),ParseTime(RunTime3!G2),ParseTime(RunTime4!G2))/86400,"mm""m ""ss.00""s""")</f>
        <v>00m 03.08s ± 00m 00.53s</v>
      </c>
      <c r="H2" t="str">
        <f>TEXT(AVERAGE(ParseTime(RunTime1!H2),ParseTime(RunTime2!H2),ParseTime(RunTime3!H2),ParseTime(RunTime4!H2))/86400,"mm""m ""ss.00""s""") &amp; " ± " &amp; TEXT(_xlfn.STDEV.S(ParseTime(RunTime1!H2),ParseTime(RunTime2!H2),ParseTime(RunTime3!H2),ParseTime(RunTime4!H2))/86400,"mm""m ""ss.00""s""")</f>
        <v>00m 03.08s ± 00m 00.84s</v>
      </c>
      <c r="I2" s="1">
        <f>AVERAGE(ParseTime(RunTime1!E2),ParseTime(RunTime2!E2),ParseTime(RunTime3!E2),ParseTime(RunTime4!E2))/AVERAGE(ParseTime(RunTime1!F2),ParseTime(RunTime2!F2),ParseTime(RunTime3!F2),ParseTime(RunTime4!F2))</f>
        <v>0.9883513185164009</v>
      </c>
      <c r="J2" s="1">
        <f>AVERAGE(ParseTime(RunTime1!F2),ParseTime(RunTime2!F2),ParseTime(RunTime3!F2),ParseTime(RunTime4!F2))/AVERAGE(ParseTime(RunTime1!H2),ParseTime(RunTime2!H2),ParseTime(RunTime3!H2),ParseTime(RunTime4!H2))</f>
        <v>1.1343223086900129</v>
      </c>
      <c r="K2" s="1">
        <f>AVERAGE(ParseTime(RunTime1!E2),ParseTime(RunTime2!E2),ParseTime(RunTime3!E2),ParseTime(RunTime4!E2))/AVERAGE(ParseTime(RunTime1!G2),ParseTime(RunTime2!G2),ParseTime(RunTime3!G2),ParseTime(RunTime4!G2))</f>
        <v>1.1242988374928868</v>
      </c>
      <c r="L2" s="1">
        <f>AVERAGE(ParseTime(RunTime1!F2),ParseTime(RunTime2!F2),ParseTime(RunTime3!F2),ParseTime(RunTime4!F2))/AVERAGE(ParseTime(RunTime1!G2),ParseTime(RunTime2!G2),ParseTime(RunTime3!G2),ParseTime(RunTime4!G2))</f>
        <v>1.1375497926997806</v>
      </c>
      <c r="M2" s="1">
        <f>AVERAGE(ParseTime(RunTime1!E2),ParseTime(RunTime2!E2),ParseTime(RunTime3!E2),ParseTime(RunTime4!E2))/AVERAGE(ParseTime(RunTime1!H2),ParseTime(RunTime2!H2),ParseTime(RunTime3!H2),ParseTime(RunTime4!H2))</f>
        <v>1.1211089494163422</v>
      </c>
      <c r="N2" t="s">
        <v>10</v>
      </c>
    </row>
    <row r="3" spans="1:14" x14ac:dyDescent="0.25">
      <c r="A3" t="s">
        <v>17</v>
      </c>
      <c r="B3">
        <v>8</v>
      </c>
      <c r="C3">
        <v>6</v>
      </c>
      <c r="D3" t="s">
        <v>100</v>
      </c>
      <c r="E3" t="str">
        <f>TEXT(AVERAGE(ParseTime(RunTime1!E3),ParseTime(RunTime2!E3),ParseTime(RunTime3!E3),ParseTime(RunTime4!E3))/86400,"mm""m ""ss.00""s""") &amp; " ± " &amp; TEXT(_xlfn.STDEV.S(ParseTime(RunTime1!E3),ParseTime(RunTime2!E3),ParseTime(RunTime3!E3),ParseTime(RunTime4!E3))/86400,"mm""m ""ss.00""s""")</f>
        <v>00m 04.59s ± 00m 00.06s</v>
      </c>
      <c r="F3" t="str">
        <f>TEXT(AVERAGE(ParseTime(RunTime1!F3),ParseTime(RunTime2!F3),ParseTime(RunTime3!F3),ParseTime(RunTime4!F3))/86400,"mm""m ""ss.00""s""") &amp; " ± " &amp; TEXT(_xlfn.STDEV.S(ParseTime(RunTime1!F3),ParseTime(RunTime2!F3),ParseTime(RunTime3!F3),ParseTime(RunTime4!F3))/86400,"mm""m ""ss.00""s""")</f>
        <v>00m 06.06s ± 00m 01.16s</v>
      </c>
      <c r="G3" t="str">
        <f>TEXT(AVERAGE(ParseTime(RunTime1!G3),ParseTime(RunTime2!G3),ParseTime(RunTime3!G3),ParseTime(RunTime4!G3))/86400,"mm""m ""ss.00""s""") &amp; " ± " &amp; TEXT(_xlfn.STDEV.S(ParseTime(RunTime1!G3),ParseTime(RunTime2!G3),ParseTime(RunTime3!G3),ParseTime(RunTime4!G3))/86400,"mm""m ""ss.00""s""")</f>
        <v>00m 04.45s ± 00m 00.22s</v>
      </c>
      <c r="H3" t="str">
        <f>TEXT(AVERAGE(ParseTime(RunTime1!H3),ParseTime(RunTime2!H3),ParseTime(RunTime3!H3),ParseTime(RunTime4!H3))/86400,"mm""m ""ss.00""s""") &amp; " ± " &amp; TEXT(_xlfn.STDEV.S(ParseTime(RunTime1!H3),ParseTime(RunTime2!H3),ParseTime(RunTime3!H3),ParseTime(RunTime4!H3))/86400,"mm""m ""ss.00""s""")</f>
        <v>00m 05.41s ± 00m 00.19s</v>
      </c>
      <c r="I3" s="1">
        <f>AVERAGE(ParseTime(RunTime1!E3),ParseTime(RunTime2!E3),ParseTime(RunTime3!E3),ParseTime(RunTime4!E3))/AVERAGE(ParseTime(RunTime1!F3),ParseTime(RunTime2!F3),ParseTime(RunTime3!F3),ParseTime(RunTime4!F3))</f>
        <v>0.7582762321472799</v>
      </c>
      <c r="J3" s="1">
        <f>AVERAGE(ParseTime(RunTime1!F3),ParseTime(RunTime2!F3),ParseTime(RunTime3!F3),ParseTime(RunTime4!F3))/AVERAGE(ParseTime(RunTime1!H3),ParseTime(RunTime2!H3),ParseTime(RunTime3!H3),ParseTime(RunTime4!H3))</f>
        <v>1.1201738567531325</v>
      </c>
      <c r="K3" s="1">
        <f>AVERAGE(ParseTime(RunTime1!E3),ParseTime(RunTime2!E3),ParseTime(RunTime3!E3),ParseTime(RunTime4!E3))/AVERAGE(ParseTime(RunTime1!G3),ParseTime(RunTime2!G3),ParseTime(RunTime3!G3),ParseTime(RunTime4!G3))</f>
        <v>1.0316747163877344</v>
      </c>
      <c r="L3" s="1">
        <f>AVERAGE(ParseTime(RunTime1!F3),ParseTime(RunTime2!F3),ParseTime(RunTime3!F3),ParseTime(RunTime4!F3))/AVERAGE(ParseTime(RunTime1!G3),ParseTime(RunTime2!G3),ParseTime(RunTime3!G3),ParseTime(RunTime4!G3))</f>
        <v>1.3605526227114455</v>
      </c>
      <c r="M3" s="1">
        <f>AVERAGE(ParseTime(RunTime1!E3),ParseTime(RunTime2!E3),ParseTime(RunTime3!E3),ParseTime(RunTime4!E3))/AVERAGE(ParseTime(RunTime1!H3),ParseTime(RunTime2!H3),ParseTime(RunTime3!H3),ParseTime(RunTime4!H3))</f>
        <v>0.8494012114486521</v>
      </c>
      <c r="N3" t="s">
        <v>10</v>
      </c>
    </row>
    <row r="4" spans="1:14" x14ac:dyDescent="0.25">
      <c r="A4" t="s">
        <v>26</v>
      </c>
      <c r="B4">
        <v>50</v>
      </c>
      <c r="C4">
        <v>6</v>
      </c>
      <c r="D4" t="s">
        <v>100</v>
      </c>
      <c r="E4" t="str">
        <f>TEXT(AVERAGE(ParseTime(RunTime1!E4),ParseTime(RunTime2!E4),ParseTime(RunTime3!E4),ParseTime(RunTime4!E4))/86400,"mm""m ""ss.00""s""") &amp; " ± " &amp; TEXT(_xlfn.STDEV.S(ParseTime(RunTime1!E4),ParseTime(RunTime2!E4),ParseTime(RunTime3!E4),ParseTime(RunTime4!E4))/86400,"mm""m ""ss.00""s""")</f>
        <v>00m 10.44s ± 00m 01.12s</v>
      </c>
      <c r="F4" t="str">
        <f>TEXT(AVERAGE(ParseTime(RunTime1!F4),ParseTime(RunTime2!F4),ParseTime(RunTime3!F4),ParseTime(RunTime4!F4))/86400,"mm""m ""ss.00""s""") &amp; " ± " &amp; TEXT(_xlfn.STDEV.S(ParseTime(RunTime1!F4),ParseTime(RunTime2!F4),ParseTime(RunTime3!F4),ParseTime(RunTime4!F4))/86400,"mm""m ""ss.00""s""")</f>
        <v>00m 11.22s ± 00m 01.05s</v>
      </c>
      <c r="G4" t="str">
        <f>TEXT(AVERAGE(ParseTime(RunTime1!G4),ParseTime(RunTime2!G4),ParseTime(RunTime3!G4),ParseTime(RunTime4!G4))/86400,"mm""m ""ss.00""s""") &amp; " ± " &amp; TEXT(_xlfn.STDEV.S(ParseTime(RunTime1!G4),ParseTime(RunTime2!G4),ParseTime(RunTime3!G4),ParseTime(RunTime4!G4))/86400,"mm""m ""ss.00""s""")</f>
        <v>00m 10.66s ± 00m 01.81s</v>
      </c>
      <c r="H4" t="str">
        <f>TEXT(AVERAGE(ParseTime(RunTime1!H4),ParseTime(RunTime2!H4),ParseTime(RunTime3!H4),ParseTime(RunTime4!H4))/86400,"mm""m ""ss.00""s""") &amp; " ± " &amp; TEXT(_xlfn.STDEV.S(ParseTime(RunTime1!H4),ParseTime(RunTime2!H4),ParseTime(RunTime3!H4),ParseTime(RunTime4!H4))/86400,"mm""m ""ss.00""s""")</f>
        <v>00m 10.65s ± 00m 01.16s</v>
      </c>
      <c r="I4" s="1">
        <f>AVERAGE(ParseTime(RunTime1!E4),ParseTime(RunTime2!E4),ParseTime(RunTime3!E4),ParseTime(RunTime4!E4))/AVERAGE(ParseTime(RunTime1!F4),ParseTime(RunTime2!F4),ParseTime(RunTime3!F4),ParseTime(RunTime4!F4))</f>
        <v>0.93048902751476004</v>
      </c>
      <c r="J4" s="1">
        <f>AVERAGE(ParseTime(RunTime1!F4),ParseTime(RunTime2!F4),ParseTime(RunTime3!F4),ParseTime(RunTime4!F4))/AVERAGE(ParseTime(RunTime1!H4),ParseTime(RunTime2!H4),ParseTime(RunTime3!H4),ParseTime(RunTime4!H4))</f>
        <v>1.0539601286777653</v>
      </c>
      <c r="K4" s="1">
        <f>AVERAGE(ParseTime(RunTime1!E4),ParseTime(RunTime2!E4),ParseTime(RunTime3!E4),ParseTime(RunTime4!E4))/AVERAGE(ParseTime(RunTime1!G4),ParseTime(RunTime2!G4),ParseTime(RunTime3!G4),ParseTime(RunTime4!G4))</f>
        <v>0.97973210725093252</v>
      </c>
      <c r="L4" s="1">
        <f>AVERAGE(ParseTime(RunTime1!F4),ParseTime(RunTime2!F4),ParseTime(RunTime3!F4),ParseTime(RunTime4!F4))/AVERAGE(ParseTime(RunTime1!G4),ParseTime(RunTime2!G4),ParseTime(RunTime3!G4),ParseTime(RunTime4!G4))</f>
        <v>1.0529217199558987</v>
      </c>
      <c r="M4" s="1">
        <f>AVERAGE(ParseTime(RunTime1!E4),ParseTime(RunTime2!E4),ParseTime(RunTime3!E4),ParseTime(RunTime4!E4))/AVERAGE(ParseTime(RunTime1!H4),ParseTime(RunTime2!H4),ParseTime(RunTime3!H4),ParseTime(RunTime4!H4))</f>
        <v>0.98069833517270522</v>
      </c>
      <c r="N4" t="s">
        <v>10</v>
      </c>
    </row>
    <row r="5" spans="1:14" x14ac:dyDescent="0.25">
      <c r="A5" t="s">
        <v>35</v>
      </c>
      <c r="B5">
        <v>100</v>
      </c>
      <c r="C5">
        <v>10</v>
      </c>
      <c r="D5" t="s">
        <v>100</v>
      </c>
      <c r="E5" t="str">
        <f>TEXT(AVERAGE(ParseTime(RunTime1!E5),ParseTime(RunTime2!E5),ParseTime(RunTime3!E5),ParseTime(RunTime4!E5))/86400,"mm""m ""ss.00""s""") &amp; " ± " &amp; TEXT(_xlfn.STDEV.S(ParseTime(RunTime1!E5),ParseTime(RunTime2!E5),ParseTime(RunTime3!E5),ParseTime(RunTime4!E5))/86400,"mm""m ""ss.00""s""")</f>
        <v>00m 32.39s ± 00m 02.46s</v>
      </c>
      <c r="F5" t="str">
        <f>TEXT(AVERAGE(ParseTime(RunTime1!F5),ParseTime(RunTime2!F5),ParseTime(RunTime3!F5),ParseTime(RunTime4!F5))/86400,"mm""m ""ss.00""s""") &amp; " ± " &amp; TEXT(_xlfn.STDEV.S(ParseTime(RunTime1!F5),ParseTime(RunTime2!F5),ParseTime(RunTime3!F5),ParseTime(RunTime4!F5))/86400,"mm""m ""ss.00""s""")</f>
        <v>00m 32.66s ± 00m 02.45s</v>
      </c>
      <c r="G5" t="str">
        <f>TEXT(AVERAGE(ParseTime(RunTime1!G5),ParseTime(RunTime2!G5),ParseTime(RunTime3!G5),ParseTime(RunTime4!G5))/86400,"mm""m ""ss.00""s""") &amp; " ± " &amp; TEXT(_xlfn.STDEV.S(ParseTime(RunTime1!G5),ParseTime(RunTime2!G5),ParseTime(RunTime3!G5),ParseTime(RunTime4!G5))/86400,"mm""m ""ss.00""s""")</f>
        <v>00m 29.68s ± 00m 05.45s</v>
      </c>
      <c r="H5" t="str">
        <f>TEXT(AVERAGE(ParseTime(RunTime1!H5),ParseTime(RunTime2!H5),ParseTime(RunTime3!H5),ParseTime(RunTime4!H5))/86400,"mm""m ""ss.00""s""") &amp; " ± " &amp; TEXT(_xlfn.STDEV.S(ParseTime(RunTime1!H5),ParseTime(RunTime2!H5),ParseTime(RunTime3!H5),ParseTime(RunTime4!H5))/86400,"mm""m ""ss.00""s""")</f>
        <v>00m 32.93s ± 00m 04.41s</v>
      </c>
      <c r="I5" s="1">
        <f>AVERAGE(ParseTime(RunTime1!E5),ParseTime(RunTime2!E5),ParseTime(RunTime3!E5),ParseTime(RunTime4!E5))/AVERAGE(ParseTime(RunTime1!F5),ParseTime(RunTime2!F5),ParseTime(RunTime3!F5),ParseTime(RunTime4!F5))</f>
        <v>0.99161053276178812</v>
      </c>
      <c r="J5" s="1">
        <f>AVERAGE(ParseTime(RunTime1!F5),ParseTime(RunTime2!F5),ParseTime(RunTime3!F5),ParseTime(RunTime4!F5))/AVERAGE(ParseTime(RunTime1!H5),ParseTime(RunTime2!H5),ParseTime(RunTime3!H5),ParseTime(RunTime4!H5))</f>
        <v>0.99191374663072751</v>
      </c>
      <c r="K5" s="1">
        <f>AVERAGE(ParseTime(RunTime1!E5),ParseTime(RunTime2!E5),ParseTime(RunTime3!E5),ParseTime(RunTime4!E5))/AVERAGE(ParseTime(RunTime1!G5),ParseTime(RunTime2!G5),ParseTime(RunTime3!G5),ParseTime(RunTime4!G5))</f>
        <v>1.0913287785481409</v>
      </c>
      <c r="L5" s="1">
        <f>AVERAGE(ParseTime(RunTime1!F5),ParseTime(RunTime2!F5),ParseTime(RunTime3!F5),ParseTime(RunTime4!F5))/AVERAGE(ParseTime(RunTime1!G5),ParseTime(RunTime2!G5),ParseTime(RunTime3!G5),ParseTime(RunTime4!G5))</f>
        <v>1.1005619066072465</v>
      </c>
      <c r="M5" s="1">
        <f>AVERAGE(ParseTime(RunTime1!E5),ParseTime(RunTime2!E5),ParseTime(RunTime3!E5),ParseTime(RunTime4!E5))/AVERAGE(ParseTime(RunTime1!H5),ParseTime(RunTime2!H5),ParseTime(RunTime3!H5),ParseTime(RunTime4!H5))</f>
        <v>0.983592118750237</v>
      </c>
      <c r="N5" t="s">
        <v>10</v>
      </c>
    </row>
    <row r="6" spans="1:14" x14ac:dyDescent="0.25">
      <c r="A6" t="s">
        <v>44</v>
      </c>
      <c r="B6">
        <v>4</v>
      </c>
      <c r="C6">
        <v>4</v>
      </c>
      <c r="D6" t="s">
        <v>100</v>
      </c>
      <c r="E6" t="str">
        <f>TEXT(AVERAGE(ParseTime(RunTime1!E6),ParseTime(RunTime2!E6),ParseTime(RunTime3!E6),ParseTime(RunTime4!E6))/86400,"mm""m ""ss.00""s""") &amp; " ± " &amp; TEXT(_xlfn.STDEV.S(ParseTime(RunTime1!E6),ParseTime(RunTime2!E6),ParseTime(RunTime3!E6),ParseTime(RunTime4!E6))/86400,"mm""m ""ss.00""s""")</f>
        <v>00m 30.98s ± 00m 00.60s</v>
      </c>
      <c r="F6" t="str">
        <f>TEXT(AVERAGE(ParseTime(RunTime1!F6),ParseTime(RunTime2!F6),ParseTime(RunTime3!F6),ParseTime(RunTime4!F6))/86400,"mm""m ""ss.00""s""") &amp; " ± " &amp; TEXT(_xlfn.STDEV.S(ParseTime(RunTime1!F6),ParseTime(RunTime2!F6),ParseTime(RunTime3!F6),ParseTime(RunTime4!F6))/86400,"mm""m ""ss.00""s""")</f>
        <v>00m 30.56s ± 00m 00.49s</v>
      </c>
      <c r="G6" t="str">
        <f>TEXT(AVERAGE(ParseTime(RunTime1!G6),ParseTime(RunTime2!G6),ParseTime(RunTime3!G6),ParseTime(RunTime4!G6))/86400,"mm""m ""ss.00""s""") &amp; " ± " &amp; TEXT(_xlfn.STDEV.S(ParseTime(RunTime1!G6),ParseTime(RunTime2!G6),ParseTime(RunTime3!G6),ParseTime(RunTime4!G6))/86400,"mm""m ""ss.00""s""")</f>
        <v>00m 22.53s ± 00m 00.96s</v>
      </c>
      <c r="H6" t="str">
        <f>TEXT(AVERAGE(ParseTime(RunTime1!H6),ParseTime(RunTime2!H6),ParseTime(RunTime3!H6),ParseTime(RunTime4!H6))/86400,"mm""m ""ss.00""s""") &amp; " ± " &amp; TEXT(_xlfn.STDEV.S(ParseTime(RunTime1!H6),ParseTime(RunTime2!H6),ParseTime(RunTime3!H6),ParseTime(RunTime4!H6))/86400,"mm""m ""ss.00""s""")</f>
        <v>00m 22.21s ± 00m 00.77s</v>
      </c>
      <c r="I6" s="1">
        <f>AVERAGE(ParseTime(RunTime1!E6),ParseTime(RunTime2!E6),ParseTime(RunTime3!E6),ParseTime(RunTime4!E6))/AVERAGE(ParseTime(RunTime1!F6),ParseTime(RunTime2!F6),ParseTime(RunTime3!F6),ParseTime(RunTime4!F6))</f>
        <v>1.0138241308793456</v>
      </c>
      <c r="J6" s="1">
        <f>AVERAGE(ParseTime(RunTime1!F6),ParseTime(RunTime2!F6),ParseTime(RunTime3!F6),ParseTime(RunTime4!F6))/AVERAGE(ParseTime(RunTime1!H6),ParseTime(RunTime2!H6),ParseTime(RunTime3!H6),ParseTime(RunTime4!H6))</f>
        <v>1.3757751043788473</v>
      </c>
      <c r="K6" s="1">
        <f>AVERAGE(ParseTime(RunTime1!E6),ParseTime(RunTime2!E6),ParseTime(RunTime3!E6),ParseTime(RunTime4!E6))/AVERAGE(ParseTime(RunTime1!G6),ParseTime(RunTime2!G6),ParseTime(RunTime3!G6),ParseTime(RunTime4!G6))</f>
        <v>1.3754605584409818</v>
      </c>
      <c r="L6" s="1">
        <f>AVERAGE(ParseTime(RunTime1!F6),ParseTime(RunTime2!F6),ParseTime(RunTime3!F6),ParseTime(RunTime4!F6))/AVERAGE(ParseTime(RunTime1!G6),ParseTime(RunTime2!G6),ParseTime(RunTime3!G6),ParseTime(RunTime4!G6))</f>
        <v>1.3567052869889464</v>
      </c>
      <c r="M6" s="1">
        <f>AVERAGE(ParseTime(RunTime1!E6),ParseTime(RunTime2!E6),ParseTime(RunTime3!E6),ParseTime(RunTime4!E6))/AVERAGE(ParseTime(RunTime1!H6),ParseTime(RunTime2!H6),ParseTime(RunTime3!H6),ParseTime(RunTime4!H6))</f>
        <v>1.3947939994823257</v>
      </c>
      <c r="N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RunTime1</vt:lpstr>
      <vt:lpstr>RunTime2</vt:lpstr>
      <vt:lpstr>RunTime3</vt:lpstr>
      <vt:lpstr>RunTime4</vt:lpstr>
      <vt:lpstr>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HiTecH</dc:creator>
  <cp:lastModifiedBy>HiTecH</cp:lastModifiedBy>
  <dcterms:created xsi:type="dcterms:W3CDTF">2026-09-17T20:46:44Z</dcterms:created>
  <dcterms:modified xsi:type="dcterms:W3CDTF">2026-09-18T03:40:37Z</dcterms:modified>
</cp:coreProperties>
</file>